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wnloads\Ergodone\Keymap generator\"/>
    </mc:Choice>
  </mc:AlternateContent>
  <xr:revisionPtr revIDLastSave="0" documentId="13_ncr:1_{4763044C-6AB9-4787-AC22-3AF083699BA9}" xr6:coauthVersionLast="46" xr6:coauthVersionMax="46" xr10:uidLastSave="{00000000-0000-0000-0000-000000000000}"/>
  <bookViews>
    <workbookView xWindow="-120" yWindow="-120" windowWidth="29040" windowHeight="15480" activeTab="6" xr2:uid="{00000000-000D-0000-FFFF-FFFF00000000}"/>
  </bookViews>
  <sheets>
    <sheet name="Layout 1" sheetId="4" r:id="rId1"/>
    <sheet name="Layout 2" sheetId="5" r:id="rId2"/>
    <sheet name="Layout 3" sheetId="8" r:id="rId3"/>
    <sheet name="Layout 4" sheetId="9" r:id="rId4"/>
    <sheet name="Version" sheetId="3" state="hidden" r:id="rId5"/>
    <sheet name="Layout 5" sheetId="11" r:id="rId6"/>
    <sheet name="BDD" sheetId="2" r:id="rId7"/>
    <sheet name="allcode" sheetId="12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6" i="12" l="1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165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24" i="12"/>
  <c r="A122" i="12"/>
  <c r="A12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83" i="12"/>
  <c r="A81" i="12"/>
  <c r="A8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42" i="12"/>
  <c r="A41" i="12"/>
  <c r="A37" i="12"/>
  <c r="A38" i="12"/>
  <c r="A39" i="12"/>
  <c r="A40" i="12"/>
  <c r="A28" i="12"/>
  <c r="A29" i="12"/>
  <c r="A30" i="12"/>
  <c r="A31" i="12"/>
  <c r="A32" i="12"/>
  <c r="A33" i="12"/>
  <c r="A34" i="12"/>
  <c r="A35" i="12"/>
  <c r="A36" i="12"/>
  <c r="A2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1" i="12"/>
  <c r="A61" i="11" l="1"/>
  <c r="A60" i="11"/>
  <c r="A59" i="11"/>
  <c r="A58" i="11"/>
  <c r="A57" i="11"/>
  <c r="A56" i="11"/>
  <c r="AC31" i="11"/>
  <c r="AA31" i="11"/>
  <c r="Y31" i="11"/>
  <c r="W31" i="11"/>
  <c r="U31" i="11"/>
  <c r="I31" i="11"/>
  <c r="G31" i="11"/>
  <c r="A53" i="11" s="1"/>
  <c r="E31" i="11"/>
  <c r="C31" i="11"/>
  <c r="A31" i="11"/>
  <c r="AC29" i="11"/>
  <c r="AA29" i="11"/>
  <c r="Y29" i="11"/>
  <c r="W29" i="11"/>
  <c r="U29" i="11"/>
  <c r="S29" i="11"/>
  <c r="K29" i="11"/>
  <c r="I29" i="11"/>
  <c r="G29" i="11"/>
  <c r="A49" i="11" s="1"/>
  <c r="E29" i="11"/>
  <c r="C29" i="11"/>
  <c r="A29" i="11"/>
  <c r="AC27" i="11"/>
  <c r="AA27" i="11"/>
  <c r="Y27" i="11"/>
  <c r="W27" i="11"/>
  <c r="U27" i="11"/>
  <c r="S27" i="11"/>
  <c r="Q27" i="11"/>
  <c r="M27" i="11"/>
  <c r="K27" i="11"/>
  <c r="I27" i="11"/>
  <c r="G27" i="11"/>
  <c r="E27" i="11"/>
  <c r="C27" i="11"/>
  <c r="A27" i="11"/>
  <c r="AC25" i="11"/>
  <c r="AA25" i="11"/>
  <c r="Y25" i="11"/>
  <c r="W25" i="11"/>
  <c r="U25" i="11"/>
  <c r="S25" i="11"/>
  <c r="Q25" i="11"/>
  <c r="M25" i="11"/>
  <c r="K25" i="11"/>
  <c r="I25" i="11"/>
  <c r="G25" i="11"/>
  <c r="E25" i="11"/>
  <c r="C25" i="11"/>
  <c r="A25" i="11"/>
  <c r="AC23" i="11"/>
  <c r="AA23" i="11"/>
  <c r="Y23" i="11"/>
  <c r="W23" i="11"/>
  <c r="U23" i="11"/>
  <c r="S23" i="11"/>
  <c r="Q23" i="11"/>
  <c r="M23" i="11"/>
  <c r="K23" i="11"/>
  <c r="I23" i="11"/>
  <c r="G23" i="11"/>
  <c r="A36" i="11" s="1"/>
  <c r="E23" i="11"/>
  <c r="C23" i="11"/>
  <c r="A23" i="11"/>
  <c r="A43" i="11" l="1"/>
  <c r="A51" i="11"/>
  <c r="A47" i="11"/>
  <c r="A38" i="11"/>
  <c r="A39" i="11"/>
  <c r="A37" i="11"/>
  <c r="A46" i="11"/>
  <c r="A48" i="11"/>
  <c r="A40" i="11"/>
  <c r="A45" i="11"/>
  <c r="A44" i="11"/>
  <c r="A42" i="11"/>
  <c r="A52" i="11"/>
  <c r="A50" i="11"/>
  <c r="A55" i="11"/>
  <c r="A54" i="11"/>
  <c r="A41" i="11"/>
  <c r="A61" i="9"/>
  <c r="A60" i="9"/>
  <c r="A59" i="9"/>
  <c r="A58" i="9"/>
  <c r="A57" i="9"/>
  <c r="A56" i="9"/>
  <c r="AC31" i="9"/>
  <c r="AA31" i="9"/>
  <c r="Y31" i="9"/>
  <c r="W31" i="9"/>
  <c r="U31" i="9"/>
  <c r="I31" i="9"/>
  <c r="G31" i="9"/>
  <c r="E31" i="9"/>
  <c r="C31" i="9"/>
  <c r="A31" i="9"/>
  <c r="AC29" i="9"/>
  <c r="AA29" i="9"/>
  <c r="A52" i="9" s="1"/>
  <c r="Y29" i="9"/>
  <c r="W29" i="9"/>
  <c r="U29" i="9"/>
  <c r="S29" i="9"/>
  <c r="K29" i="9"/>
  <c r="A51" i="9" s="1"/>
  <c r="I29" i="9"/>
  <c r="G29" i="9"/>
  <c r="A49" i="9" s="1"/>
  <c r="E29" i="9"/>
  <c r="C29" i="9"/>
  <c r="A29" i="9"/>
  <c r="AC27" i="9"/>
  <c r="AA27" i="9"/>
  <c r="Y27" i="9"/>
  <c r="W27" i="9"/>
  <c r="U27" i="9"/>
  <c r="S27" i="9"/>
  <c r="Q27" i="9"/>
  <c r="M27" i="9"/>
  <c r="K27" i="9"/>
  <c r="I27" i="9"/>
  <c r="G27" i="9"/>
  <c r="E27" i="9"/>
  <c r="C27" i="9"/>
  <c r="A27" i="9"/>
  <c r="A47" i="9" s="1"/>
  <c r="AC25" i="9"/>
  <c r="AA25" i="9"/>
  <c r="Y25" i="9"/>
  <c r="W25" i="9"/>
  <c r="U25" i="9"/>
  <c r="S25" i="9"/>
  <c r="Q25" i="9"/>
  <c r="M25" i="9"/>
  <c r="K25" i="9"/>
  <c r="I25" i="9"/>
  <c r="G25" i="9"/>
  <c r="E25" i="9"/>
  <c r="A41" i="9" s="1"/>
  <c r="C25" i="9"/>
  <c r="A25" i="9"/>
  <c r="A43" i="9" s="1"/>
  <c r="AC23" i="9"/>
  <c r="AA23" i="9"/>
  <c r="Y23" i="9"/>
  <c r="W23" i="9"/>
  <c r="A36" i="9" s="1"/>
  <c r="U23" i="9"/>
  <c r="S23" i="9"/>
  <c r="Q23" i="9"/>
  <c r="M23" i="9"/>
  <c r="K23" i="9"/>
  <c r="I23" i="9"/>
  <c r="G23" i="9"/>
  <c r="E23" i="9"/>
  <c r="C23" i="9"/>
  <c r="A23" i="9"/>
  <c r="A39" i="9" s="1"/>
  <c r="A61" i="8"/>
  <c r="A60" i="8"/>
  <c r="A59" i="8"/>
  <c r="A58" i="8"/>
  <c r="A57" i="8"/>
  <c r="A56" i="8"/>
  <c r="AC31" i="8"/>
  <c r="AA31" i="8"/>
  <c r="Y31" i="8"/>
  <c r="W31" i="8"/>
  <c r="U31" i="8"/>
  <c r="I31" i="8"/>
  <c r="G31" i="8"/>
  <c r="E31" i="8"/>
  <c r="C31" i="8"/>
  <c r="A31" i="8"/>
  <c r="AC29" i="8"/>
  <c r="AA29" i="8"/>
  <c r="Y29" i="8"/>
  <c r="W29" i="8"/>
  <c r="U29" i="8"/>
  <c r="S29" i="8"/>
  <c r="K29" i="8"/>
  <c r="A51" i="8" s="1"/>
  <c r="I29" i="8"/>
  <c r="G29" i="8"/>
  <c r="E29" i="8"/>
  <c r="C29" i="8"/>
  <c r="A29" i="8"/>
  <c r="A52" i="8" s="1"/>
  <c r="AC27" i="8"/>
  <c r="AA27" i="8"/>
  <c r="Y27" i="8"/>
  <c r="W27" i="8"/>
  <c r="U27" i="8"/>
  <c r="S27" i="8"/>
  <c r="Q27" i="8"/>
  <c r="M27" i="8"/>
  <c r="K27" i="8"/>
  <c r="I27" i="8"/>
  <c r="G27" i="8"/>
  <c r="E27" i="8"/>
  <c r="C27" i="8"/>
  <c r="A47" i="8" s="1"/>
  <c r="A27" i="8"/>
  <c r="AC25" i="8"/>
  <c r="AA25" i="8"/>
  <c r="Y25" i="8"/>
  <c r="W25" i="8"/>
  <c r="U25" i="8"/>
  <c r="S25" i="8"/>
  <c r="Q25" i="8"/>
  <c r="M25" i="8"/>
  <c r="K25" i="8"/>
  <c r="I25" i="8"/>
  <c r="G25" i="8"/>
  <c r="E25" i="8"/>
  <c r="C25" i="8"/>
  <c r="A25" i="8"/>
  <c r="AC23" i="8"/>
  <c r="AA23" i="8"/>
  <c r="Y23" i="8"/>
  <c r="W23" i="8"/>
  <c r="U23" i="8"/>
  <c r="S23" i="8"/>
  <c r="Q23" i="8"/>
  <c r="M23" i="8"/>
  <c r="K23" i="8"/>
  <c r="I23" i="8"/>
  <c r="G23" i="8"/>
  <c r="E23" i="8"/>
  <c r="C23" i="8"/>
  <c r="A23" i="8"/>
  <c r="A61" i="5"/>
  <c r="A60" i="5"/>
  <c r="A59" i="5"/>
  <c r="A58" i="5"/>
  <c r="A57" i="5"/>
  <c r="A56" i="5"/>
  <c r="AC31" i="5"/>
  <c r="AA31" i="5"/>
  <c r="Y31" i="5"/>
  <c r="W31" i="5"/>
  <c r="U31" i="5"/>
  <c r="I31" i="5"/>
  <c r="G31" i="5"/>
  <c r="E31" i="5"/>
  <c r="C31" i="5"/>
  <c r="A31" i="5"/>
  <c r="AC29" i="5"/>
  <c r="AA29" i="5"/>
  <c r="Y29" i="5"/>
  <c r="W29" i="5"/>
  <c r="U29" i="5"/>
  <c r="S29" i="5"/>
  <c r="A51" i="5" s="1"/>
  <c r="K29" i="5"/>
  <c r="I29" i="5"/>
  <c r="G29" i="5"/>
  <c r="A49" i="5" s="1"/>
  <c r="E29" i="5"/>
  <c r="C29" i="5"/>
  <c r="A29" i="5"/>
  <c r="AC27" i="5"/>
  <c r="AA27" i="5"/>
  <c r="Y27" i="5"/>
  <c r="W27" i="5"/>
  <c r="U27" i="5"/>
  <c r="S27" i="5"/>
  <c r="Q27" i="5"/>
  <c r="M27" i="5"/>
  <c r="K27" i="5"/>
  <c r="I27" i="5"/>
  <c r="G27" i="5"/>
  <c r="E27" i="5"/>
  <c r="C27" i="5"/>
  <c r="A47" i="5" s="1"/>
  <c r="A27" i="5"/>
  <c r="AC25" i="5"/>
  <c r="AA25" i="5"/>
  <c r="Y25" i="5"/>
  <c r="W25" i="5"/>
  <c r="U25" i="5"/>
  <c r="S25" i="5"/>
  <c r="Q25" i="5"/>
  <c r="M25" i="5"/>
  <c r="K25" i="5"/>
  <c r="I25" i="5"/>
  <c r="G25" i="5"/>
  <c r="E25" i="5"/>
  <c r="C25" i="5"/>
  <c r="A25" i="5"/>
  <c r="AC23" i="5"/>
  <c r="AA23" i="5"/>
  <c r="Y23" i="5"/>
  <c r="W23" i="5"/>
  <c r="A36" i="5" s="1"/>
  <c r="U23" i="5"/>
  <c r="S23" i="5"/>
  <c r="Q23" i="5"/>
  <c r="M23" i="5"/>
  <c r="K23" i="5"/>
  <c r="I23" i="5"/>
  <c r="G23" i="5"/>
  <c r="E23" i="5"/>
  <c r="C23" i="5"/>
  <c r="A23" i="5"/>
  <c r="A61" i="4"/>
  <c r="A60" i="4"/>
  <c r="A59" i="4"/>
  <c r="A58" i="4"/>
  <c r="A57" i="4"/>
  <c r="A56" i="4"/>
  <c r="A55" i="4"/>
  <c r="AC31" i="4"/>
  <c r="AA31" i="4"/>
  <c r="Y31" i="4"/>
  <c r="W31" i="4"/>
  <c r="U31" i="4"/>
  <c r="I31" i="4"/>
  <c r="G31" i="4"/>
  <c r="A53" i="4" s="1"/>
  <c r="E31" i="4"/>
  <c r="A54" i="4" s="1"/>
  <c r="C31" i="4"/>
  <c r="A31" i="4"/>
  <c r="AC29" i="4"/>
  <c r="AA29" i="4"/>
  <c r="Y29" i="4"/>
  <c r="W29" i="4"/>
  <c r="U29" i="4"/>
  <c r="S29" i="4"/>
  <c r="K29" i="4"/>
  <c r="A51" i="4" s="1"/>
  <c r="I29" i="4"/>
  <c r="G29" i="4"/>
  <c r="A49" i="4" s="1"/>
  <c r="E29" i="4"/>
  <c r="A50" i="4" s="1"/>
  <c r="C29" i="4"/>
  <c r="A29" i="4"/>
  <c r="A52" i="4" s="1"/>
  <c r="AC27" i="4"/>
  <c r="AA27" i="4"/>
  <c r="Y27" i="4"/>
  <c r="W27" i="4"/>
  <c r="U27" i="4"/>
  <c r="S27" i="4"/>
  <c r="Q27" i="4"/>
  <c r="M27" i="4"/>
  <c r="K27" i="4"/>
  <c r="A46" i="4" s="1"/>
  <c r="I27" i="4"/>
  <c r="G27" i="4"/>
  <c r="A44" i="4" s="1"/>
  <c r="E27" i="4"/>
  <c r="A45" i="4" s="1"/>
  <c r="C27" i="4"/>
  <c r="A47" i="4" s="1"/>
  <c r="A27" i="4"/>
  <c r="AC25" i="4"/>
  <c r="AA25" i="4"/>
  <c r="Y25" i="4"/>
  <c r="W25" i="4"/>
  <c r="U25" i="4"/>
  <c r="S25" i="4"/>
  <c r="Q25" i="4"/>
  <c r="A42" i="4" s="1"/>
  <c r="M25" i="4"/>
  <c r="K25" i="4"/>
  <c r="I25" i="4"/>
  <c r="G25" i="4"/>
  <c r="A40" i="4" s="1"/>
  <c r="E25" i="4"/>
  <c r="A41" i="4" s="1"/>
  <c r="C25" i="4"/>
  <c r="A25" i="4"/>
  <c r="A43" i="4" s="1"/>
  <c r="AC23" i="4"/>
  <c r="AA23" i="4"/>
  <c r="Y23" i="4"/>
  <c r="W23" i="4"/>
  <c r="U23" i="4"/>
  <c r="S23" i="4"/>
  <c r="Q23" i="4"/>
  <c r="M23" i="4"/>
  <c r="K23" i="4"/>
  <c r="A38" i="4" s="1"/>
  <c r="I23" i="4"/>
  <c r="G23" i="4"/>
  <c r="A36" i="4" s="1"/>
  <c r="E23" i="4"/>
  <c r="C23" i="4"/>
  <c r="A23" i="4"/>
  <c r="A39" i="4" s="1"/>
  <c r="A37" i="4" l="1"/>
  <c r="A48" i="4"/>
  <c r="A38" i="5"/>
  <c r="A43" i="5"/>
  <c r="A44" i="5"/>
  <c r="A53" i="8"/>
  <c r="A37" i="9"/>
  <c r="A40" i="9"/>
  <c r="A42" i="9"/>
  <c r="A46" i="9"/>
  <c r="A53" i="9"/>
  <c r="A39" i="5"/>
  <c r="A53" i="5"/>
  <c r="A37" i="8"/>
  <c r="A38" i="9"/>
  <c r="A55" i="9"/>
  <c r="A37" i="5"/>
  <c r="A46" i="5"/>
  <c r="A41" i="8"/>
  <c r="A49" i="8"/>
  <c r="A46" i="8"/>
  <c r="A43" i="8"/>
  <c r="A44" i="8"/>
  <c r="A48" i="8"/>
  <c r="A40" i="5"/>
  <c r="A54" i="9"/>
  <c r="A55" i="8"/>
  <c r="A54" i="8"/>
  <c r="A50" i="9"/>
  <c r="A44" i="9"/>
  <c r="A45" i="9"/>
  <c r="A48" i="9"/>
  <c r="A48" i="5"/>
  <c r="A42" i="8"/>
  <c r="A50" i="8"/>
  <c r="A42" i="5"/>
  <c r="A40" i="8"/>
  <c r="A45" i="8"/>
  <c r="A55" i="5"/>
  <c r="A52" i="5"/>
  <c r="A50" i="5"/>
  <c r="A54" i="5"/>
  <c r="A39" i="8"/>
  <c r="A36" i="8"/>
  <c r="A38" i="8"/>
  <c r="A41" i="5"/>
  <c r="A45" i="5"/>
</calcChain>
</file>

<file path=xl/sharedStrings.xml><?xml version="1.0" encoding="utf-8"?>
<sst xmlns="http://schemas.openxmlformats.org/spreadsheetml/2006/main" count="1503" uniqueCount="736">
  <si>
    <t>Azerty</t>
  </si>
  <si>
    <t>Qwerty</t>
  </si>
  <si>
    <t>Bépo</t>
  </si>
  <si>
    <t>A</t>
  </si>
  <si>
    <t>Z</t>
  </si>
  <si>
    <t>a</t>
  </si>
  <si>
    <t>z</t>
  </si>
  <si>
    <t>e</t>
  </si>
  <si>
    <t>r</t>
  </si>
  <si>
    <t>t</t>
  </si>
  <si>
    <t>y</t>
  </si>
  <si>
    <t>u</t>
  </si>
  <si>
    <t>i</t>
  </si>
  <si>
    <t>o</t>
  </si>
  <si>
    <t>p</t>
  </si>
  <si>
    <t>^</t>
  </si>
  <si>
    <t>$</t>
  </si>
  <si>
    <t>²</t>
  </si>
  <si>
    <t>&amp;</t>
  </si>
  <si>
    <t>é</t>
  </si>
  <si>
    <t>"</t>
  </si>
  <si>
    <t>'</t>
  </si>
  <si>
    <t>(</t>
  </si>
  <si>
    <t>-</t>
  </si>
  <si>
    <t>è</t>
  </si>
  <si>
    <t>_</t>
  </si>
  <si>
    <t>ç</t>
  </si>
  <si>
    <t>à</t>
  </si>
  <si>
    <t>)</t>
  </si>
  <si>
    <t>=</t>
  </si>
  <si>
    <t>`</t>
  </si>
  <si>
    <t>#</t>
  </si>
  <si>
    <t>&lt;</t>
  </si>
  <si>
    <t>~</t>
  </si>
  <si>
    <t>{</t>
  </si>
  <si>
    <t>[</t>
  </si>
  <si>
    <t>|</t>
  </si>
  <si>
    <t>\</t>
  </si>
  <si>
    <t>@</t>
  </si>
  <si>
    <t>°</t>
  </si>
  <si>
    <t>]</t>
  </si>
  <si>
    <t>+</t>
  </si>
  <si>
    <t>}</t>
  </si>
  <si>
    <t>»</t>
  </si>
  <si>
    <t>«</t>
  </si>
  <si>
    <t>*</t>
  </si>
  <si>
    <t>%</t>
  </si>
  <si>
    <t>/</t>
  </si>
  <si>
    <t>–</t>
  </si>
  <si>
    <t>—</t>
  </si>
  <si>
    <t>&gt;</t>
  </si>
  <si>
    <t>±</t>
  </si>
  <si>
    <t>−</t>
  </si>
  <si>
    <t>÷</t>
  </si>
  <si>
    <t>×</t>
  </si>
  <si>
    <t>≠</t>
  </si>
  <si>
    <t>‰</t>
  </si>
  <si>
    <t>¶</t>
  </si>
  <si>
    <t>„</t>
  </si>
  <si>
    <t>“</t>
  </si>
  <si>
    <t>”</t>
  </si>
  <si>
    <t>≤</t>
  </si>
  <si>
    <t>≥</t>
  </si>
  <si>
    <t>¬</t>
  </si>
  <si>
    <t>¼</t>
  </si>
  <si>
    <t>½</t>
  </si>
  <si>
    <t>¾</t>
  </si>
  <si>
    <t>′</t>
  </si>
  <si>
    <t>″</t>
  </si>
  <si>
    <t>!</t>
  </si>
  <si>
    <t>q</t>
  </si>
  <si>
    <t>w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</si>
  <si>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</si>
  <si>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</si>
  <si>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</si>
  <si>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</si>
  <si>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</si>
  <si>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</si>
  <si>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</si>
  <si>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</si>
  <si>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</si>
  <si>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</si>
  <si>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¨</t>
  </si>
  <si>
    <t>£</t>
  </si>
  <si>
    <t>B</t>
  </si>
  <si>
    <t>É</t>
  </si>
  <si>
    <t>È</t>
  </si>
  <si>
    <t>V</t>
  </si>
  <si>
    <t>D</t>
  </si>
  <si>
    <t>L</t>
  </si>
  <si>
    <t>J</t>
  </si>
  <si>
    <t>b</t>
  </si>
  <si>
    <t>v</t>
  </si>
  <si>
    <t>d</t>
  </si>
  <si>
    <t>l</t>
  </si>
  <si>
    <t>j</t>
  </si>
  <si>
    <t>´</t>
  </si>
  <si>
    <t>œ</t>
  </si>
  <si>
    <t>¡</t>
  </si>
  <si>
    <t>ˇ</t>
  </si>
  <si>
    <t>ð</t>
  </si>
  <si>
    <t>ĳ</t>
  </si>
  <si>
    <t>ə</t>
  </si>
  <si>
    <t>˘</t>
  </si>
  <si>
    <t>¦</t>
  </si>
  <si>
    <t>˝</t>
  </si>
  <si>
    <t>§</t>
  </si>
  <si>
    <t>Œ</t>
  </si>
  <si>
    <t>Ð</t>
  </si>
  <si>
    <t>Ĳ</t>
  </si>
  <si>
    <t>Ə</t>
  </si>
  <si>
    <t>¤</t>
  </si>
  <si>
    <t>s</t>
  </si>
  <si>
    <t>f</t>
  </si>
  <si>
    <t>g</t>
  </si>
  <si>
    <t>h</t>
  </si>
  <si>
    <t>k</t>
  </si>
  <si>
    <t>m</t>
  </si>
  <si>
    <t>ù</t>
  </si>
  <si>
    <t>S</t>
  </si>
  <si>
    <t>F</t>
  </si>
  <si>
    <t>G</t>
  </si>
  <si>
    <t>H</t>
  </si>
  <si>
    <t>K</t>
  </si>
  <si>
    <t>M</t>
  </si>
  <si>
    <t>µ</t>
  </si>
  <si>
    <t>;</t>
  </si>
  <si>
    <t>C</t>
  </si>
  <si>
    <t>N</t>
  </si>
  <si>
    <t>Ç</t>
  </si>
  <si>
    <t>,</t>
  </si>
  <si>
    <t>c</t>
  </si>
  <si>
    <t>n</t>
  </si>
  <si>
    <t>æ</t>
  </si>
  <si>
    <t>€</t>
  </si>
  <si>
    <t>’</t>
  </si>
  <si>
    <t>©</t>
  </si>
  <si>
    <t>þ</t>
  </si>
  <si>
    <t>®</t>
  </si>
  <si>
    <t>ß</t>
  </si>
  <si>
    <t>¯</t>
  </si>
  <si>
    <t>¸</t>
  </si>
  <si>
    <t>Æ</t>
  </si>
  <si>
    <t>Ù</t>
  </si>
  <si>
    <t>˙</t>
  </si>
  <si>
    <t>ſ</t>
  </si>
  <si>
    <t>Þ</t>
  </si>
  <si>
    <t>ẞ</t>
  </si>
  <si>
    <t>™</t>
  </si>
  <si>
    <t>º</t>
  </si>
  <si>
    <t>:</t>
  </si>
  <si>
    <t>x</t>
  </si>
  <si>
    <t>.</t>
  </si>
  <si>
    <t>X</t>
  </si>
  <si>
    <t>?</t>
  </si>
  <si>
    <t>Ê</t>
  </si>
  <si>
    <t>À</t>
  </si>
  <si>
    <t>ê</t>
  </si>
  <si>
    <t>…</t>
  </si>
  <si>
    <t>¿</t>
  </si>
  <si>
    <t>†</t>
  </si>
  <si>
    <t>˛</t>
  </si>
  <si>
    <t>‘</t>
  </si>
  <si>
    <t>·</t>
  </si>
  <si>
    <t>⌨</t>
  </si>
  <si>
    <t>̉̉̉</t>
  </si>
  <si>
    <t>̣̣̣̣</t>
  </si>
  <si>
    <t>‡</t>
  </si>
  <si>
    <t>ª</t>
  </si>
  <si>
    <t>BP_DLR</t>
  </si>
  <si>
    <t>BP_DQOT</t>
  </si>
  <si>
    <t>BP_LGIL</t>
  </si>
  <si>
    <t>BP_RGIL</t>
  </si>
  <si>
    <t>BP_LPRN</t>
  </si>
  <si>
    <t>BP_RPRN</t>
  </si>
  <si>
    <t>BP_AT</t>
  </si>
  <si>
    <t>BP_PLUS</t>
  </si>
  <si>
    <t>BP_MINS</t>
  </si>
  <si>
    <t>BP_SLSH</t>
  </si>
  <si>
    <t>BP_ASTR</t>
  </si>
  <si>
    <t>BP_EQL</t>
  </si>
  <si>
    <t>BP_PERC</t>
  </si>
  <si>
    <t>BP_B</t>
  </si>
  <si>
    <t>BP_ECUT</t>
  </si>
  <si>
    <t xml:space="preserve">BP_P </t>
  </si>
  <si>
    <t>BP_O</t>
  </si>
  <si>
    <t>BP_EGRV</t>
  </si>
  <si>
    <t>BP_DCRC</t>
  </si>
  <si>
    <t>BP_V</t>
  </si>
  <si>
    <t>BP_D</t>
  </si>
  <si>
    <t>BP_L</t>
  </si>
  <si>
    <t>BP_J</t>
  </si>
  <si>
    <t>BP_Z</t>
  </si>
  <si>
    <t>BP_W</t>
  </si>
  <si>
    <t>QMK B</t>
  </si>
  <si>
    <t>BP_A</t>
  </si>
  <si>
    <t>BP_U</t>
  </si>
  <si>
    <t>BP_I</t>
  </si>
  <si>
    <t>BP_E</t>
  </si>
  <si>
    <t>BP_COMM</t>
  </si>
  <si>
    <t>BP_C</t>
  </si>
  <si>
    <t>BP_T</t>
  </si>
  <si>
    <t>BP_S</t>
  </si>
  <si>
    <t>BP_R</t>
  </si>
  <si>
    <t>BP_N</t>
  </si>
  <si>
    <t xml:space="preserve">BP_M </t>
  </si>
  <si>
    <t>BP_CCED</t>
  </si>
  <si>
    <t>Tab</t>
  </si>
  <si>
    <t>Enter</t>
  </si>
  <si>
    <t>Backspace</t>
  </si>
  <si>
    <t>Del</t>
  </si>
  <si>
    <t>Alt</t>
  </si>
  <si>
    <t>Alt Gr</t>
  </si>
  <si>
    <t>Fn1</t>
  </si>
  <si>
    <t>Space</t>
  </si>
  <si>
    <t>Fn4</t>
  </si>
  <si>
    <t>Esc</t>
  </si>
  <si>
    <t>Fn2</t>
  </si>
  <si>
    <t>Fn3</t>
  </si>
  <si>
    <t>Fn5</t>
  </si>
  <si>
    <r>
      <rPr>
        <b/>
        <sz val="11"/>
        <color theme="0"/>
        <rFont val="Calibri"/>
        <family val="2"/>
        <scheme val="minor"/>
      </rPr>
      <t>\</t>
    </r>
    <r>
      <rPr>
        <b/>
        <sz val="11"/>
        <color theme="1"/>
        <rFont val="Calibri"/>
        <family val="2"/>
        <scheme val="minor"/>
      </rPr>
      <t>"</t>
    </r>
  </si>
  <si>
    <r>
      <t>\</t>
    </r>
    <r>
      <rPr>
        <sz val="11"/>
        <color theme="0"/>
        <rFont val="Calibri"/>
        <family val="2"/>
        <scheme val="minor"/>
      </rPr>
      <t>\</t>
    </r>
  </si>
  <si>
    <t>BP_ECRC</t>
  </si>
  <si>
    <t>BP_AGRV</t>
  </si>
  <si>
    <t>BP_Y</t>
  </si>
  <si>
    <t>BP_X</t>
  </si>
  <si>
    <t>BP_DOT</t>
  </si>
  <si>
    <t>BP_K</t>
  </si>
  <si>
    <t>BP_APOS</t>
  </si>
  <si>
    <t>BP_Q</t>
  </si>
  <si>
    <t>BP_G</t>
  </si>
  <si>
    <t>BP_H</t>
  </si>
  <si>
    <t>BP_F</t>
  </si>
  <si>
    <t>BP_HASH</t>
  </si>
  <si>
    <t>BP_1</t>
  </si>
  <si>
    <t>BP_2</t>
  </si>
  <si>
    <t>BP_3</t>
  </si>
  <si>
    <t>BP_4</t>
  </si>
  <si>
    <t>BP_5</t>
  </si>
  <si>
    <t>BP_6</t>
  </si>
  <si>
    <t>BP_7</t>
  </si>
  <si>
    <t>BP_8</t>
  </si>
  <si>
    <t>BP_9</t>
  </si>
  <si>
    <t>BP_0</t>
  </si>
  <si>
    <t>BP_DEGR</t>
  </si>
  <si>
    <t>BP_GRV</t>
  </si>
  <si>
    <t>BP_EXLM</t>
  </si>
  <si>
    <t>BP_SCLN</t>
  </si>
  <si>
    <t>BP_COLN</t>
  </si>
  <si>
    <t>BP_QEST</t>
  </si>
  <si>
    <t>BP_NDSH</t>
  </si>
  <si>
    <t>BP_OBEL</t>
  </si>
  <si>
    <t>BP_MMNS</t>
  </si>
  <si>
    <t>BP_PSMS</t>
  </si>
  <si>
    <t>BP_CIRC</t>
  </si>
  <si>
    <t>BP_RBRC</t>
  </si>
  <si>
    <t>BP_LBRC</t>
  </si>
  <si>
    <t>BP_GRTR</t>
  </si>
  <si>
    <t>BP_LESS</t>
  </si>
  <si>
    <t>BP_MDSH</t>
  </si>
  <si>
    <t>BP_DVSN</t>
  </si>
  <si>
    <t>BP_TIMS</t>
  </si>
  <si>
    <t>BP_PMIL</t>
  </si>
  <si>
    <t>BP_DIFF</t>
  </si>
  <si>
    <t xml:space="preserve">BP_PIPE </t>
  </si>
  <si>
    <t>dead ´</t>
  </si>
  <si>
    <t>BP_DACT</t>
  </si>
  <si>
    <t>BP_AMPR</t>
  </si>
  <si>
    <t>BP_OE</t>
  </si>
  <si>
    <t>BP_DGRV</t>
  </si>
  <si>
    <t>BP_IXLM</t>
  </si>
  <si>
    <t>dead ˇ</t>
  </si>
  <si>
    <t>BP_DCAR</t>
  </si>
  <si>
    <t>BP_ETH</t>
  </si>
  <si>
    <t>dead /</t>
  </si>
  <si>
    <t>BP_DSLH</t>
  </si>
  <si>
    <t>BP_IJ</t>
  </si>
  <si>
    <t>BP_SCWA</t>
  </si>
  <si>
    <t>dead ˘</t>
  </si>
  <si>
    <t>BP_DBRV</t>
  </si>
  <si>
    <t>dead ¨</t>
  </si>
  <si>
    <t>BP_AE</t>
  </si>
  <si>
    <t xml:space="preserve">BP_UGRV </t>
  </si>
  <si>
    <t>BP_DTRM</t>
  </si>
  <si>
    <t>BP_EURO</t>
  </si>
  <si>
    <t>BP_TAPO</t>
  </si>
  <si>
    <t>BP_CPRT</t>
  </si>
  <si>
    <t>BP_THRN</t>
  </si>
  <si>
    <t xml:space="preserve">BP_SRPS </t>
  </si>
  <si>
    <t>dead ~</t>
  </si>
  <si>
    <t>dead ¯</t>
  </si>
  <si>
    <t>dead ¸</t>
  </si>
  <si>
    <t>BP_RTM</t>
  </si>
  <si>
    <t>BP_DTLD</t>
  </si>
  <si>
    <t>BP_DMCR</t>
  </si>
  <si>
    <t>BP_DCED</t>
  </si>
  <si>
    <t>BP_BSLS</t>
  </si>
  <si>
    <t>dead °</t>
  </si>
  <si>
    <t>BP_LCBR</t>
  </si>
  <si>
    <t>BP_RCBR</t>
  </si>
  <si>
    <t>BP_ELPS</t>
  </si>
  <si>
    <t>BP_TILD</t>
  </si>
  <si>
    <t>BP_DRNG</t>
  </si>
  <si>
    <t>dead Greek key (following key</t>
  </si>
  <si>
    <t>BP_DGRK</t>
  </si>
  <si>
    <t>BP_DAGR</t>
  </si>
  <si>
    <t>dead ˛</t>
  </si>
  <si>
    <t>BP_DOGO</t>
  </si>
  <si>
    <t>P_UNDS</t>
  </si>
  <si>
    <t>BP_PARG</t>
  </si>
  <si>
    <t>BP_LWQT</t>
  </si>
  <si>
    <t>BP_LDQT</t>
  </si>
  <si>
    <t>BP_RDQT</t>
  </si>
  <si>
    <t>BP_LEQL</t>
  </si>
  <si>
    <t>BP_GEQL</t>
  </si>
  <si>
    <t>BP_NEGT</t>
  </si>
  <si>
    <t>BP_1QRT</t>
  </si>
  <si>
    <t>BP_1HLF</t>
  </si>
  <si>
    <t>BP_3QRT</t>
  </si>
  <si>
    <t>BP_MNUT</t>
  </si>
  <si>
    <t>BP_SCND</t>
  </si>
  <si>
    <t>BP_BPIP</t>
  </si>
  <si>
    <t>BP_DDCT</t>
  </si>
  <si>
    <t>BP_SECT</t>
  </si>
  <si>
    <t>BP_GRVB</t>
  </si>
  <si>
    <t>dead ˙</t>
  </si>
  <si>
    <t>dead ¤</t>
  </si>
  <si>
    <t>dead ̛</t>
  </si>
  <si>
    <t>BP_DDTA</t>
  </si>
  <si>
    <t>BP_DCUR</t>
  </si>
  <si>
    <t>BP_DHRN</t>
  </si>
  <si>
    <t>BP_LNGS</t>
  </si>
  <si>
    <t>BP_TM</t>
  </si>
  <si>
    <t>BP_ORDO</t>
  </si>
  <si>
    <t>BP_DCOM</t>
  </si>
  <si>
    <t>BP_LQOT</t>
  </si>
  <si>
    <t>dead ̉</t>
  </si>
  <si>
    <t>BP_DHKA</t>
  </si>
  <si>
    <t>BP_RQOT</t>
  </si>
  <si>
    <t>BP_IPCT</t>
  </si>
  <si>
    <t>dead ̣</t>
  </si>
  <si>
    <t>BP_DUDT</t>
  </si>
  <si>
    <t>BP_DDGR</t>
  </si>
  <si>
    <t>BP_ORDA</t>
  </si>
  <si>
    <t>Narrow Spce</t>
  </si>
  <si>
    <t>BP_NNBS</t>
  </si>
  <si>
    <t>BASE</t>
  </si>
  <si>
    <t>CtrlG</t>
  </si>
  <si>
    <t>CtrlD</t>
  </si>
  <si>
    <t>ShiftG</t>
  </si>
  <si>
    <t>ShiftD</t>
  </si>
  <si>
    <t>Keymap 0: Basic layer</t>
  </si>
  <si>
    <t>KC_DELT</t>
  </si>
  <si>
    <t>Up</t>
  </si>
  <si>
    <t>Down</t>
  </si>
  <si>
    <t>Left</t>
  </si>
  <si>
    <t>Right</t>
  </si>
  <si>
    <t>KC_LEFT</t>
  </si>
  <si>
    <t>KC_RGHT</t>
  </si>
  <si>
    <t>KC_UP</t>
  </si>
  <si>
    <t>KC_DOWN</t>
  </si>
  <si>
    <t>MsUp</t>
  </si>
  <si>
    <t>MsLeft</t>
  </si>
  <si>
    <t>MsDown</t>
  </si>
  <si>
    <t>MsRght</t>
  </si>
  <si>
    <t>Lclk</t>
  </si>
  <si>
    <t>Rclk</t>
  </si>
  <si>
    <t>KC_BTN1</t>
  </si>
  <si>
    <t>KC_BTN2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</si>
  <si>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</si>
  <si>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</si>
  <si>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</si>
  <si>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</si>
  <si>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</si>
  <si>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</si>
  <si>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</si>
  <si>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</si>
  <si>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</si>
  <si>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</si>
  <si>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</si>
  <si>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</si>
  <si>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</si>
  <si>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</si>
  <si>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</si>
  <si>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</si>
  <si>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</si>
  <si>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</si>
  <si>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</si>
  <si>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</si>
  <si>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</si>
  <si>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</si>
  <si>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</si>
  <si>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</si>
  <si>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KC_F1</t>
  </si>
  <si>
    <t>KC_F2</t>
  </si>
  <si>
    <t>KC_F3</t>
  </si>
  <si>
    <t>KC_F4</t>
  </si>
  <si>
    <t>KC_F5</t>
  </si>
  <si>
    <t>KC_F6</t>
  </si>
  <si>
    <t>KC_F7</t>
  </si>
  <si>
    <t>KC_F8</t>
  </si>
  <si>
    <t>KC_F9</t>
  </si>
  <si>
    <t>KC_F10</t>
  </si>
  <si>
    <t>KC_F11</t>
  </si>
  <si>
    <t>KC_F12</t>
  </si>
  <si>
    <t>KC_F13</t>
  </si>
  <si>
    <t>KC_F14</t>
  </si>
  <si>
    <t>KC_F15</t>
  </si>
  <si>
    <t>KC_F16</t>
  </si>
  <si>
    <t>KC_F17</t>
  </si>
  <si>
    <t>KC_F18</t>
  </si>
  <si>
    <t>KC_F19</t>
  </si>
  <si>
    <t>KC_F20</t>
  </si>
  <si>
    <t>KC_F21</t>
  </si>
  <si>
    <t>KC_F22</t>
  </si>
  <si>
    <t>KC_F23</t>
  </si>
  <si>
    <t>KC_F24</t>
  </si>
  <si>
    <t>KC_ENT</t>
  </si>
  <si>
    <t>KC_ESC</t>
  </si>
  <si>
    <t>KC_BSPC</t>
  </si>
  <si>
    <t>KC_TAB</t>
  </si>
  <si>
    <t>Caps Lock</t>
  </si>
  <si>
    <t>KC_CAPS</t>
  </si>
  <si>
    <t>KC_LCTL</t>
  </si>
  <si>
    <t>KC_LSFT</t>
  </si>
  <si>
    <t>KC_LALT</t>
  </si>
  <si>
    <t>GUIL</t>
  </si>
  <si>
    <t>GUID</t>
  </si>
  <si>
    <t>KC_LGUI</t>
  </si>
  <si>
    <t>KC_RGUI</t>
  </si>
  <si>
    <t>Print Screen</t>
  </si>
  <si>
    <t>KC_PSCR</t>
  </si>
  <si>
    <t>Pause</t>
  </si>
  <si>
    <t>KC_PAUS</t>
  </si>
  <si>
    <t>KC_INS</t>
  </si>
  <si>
    <t>Debut</t>
  </si>
  <si>
    <t>Inser</t>
  </si>
  <si>
    <t>KC_HOME</t>
  </si>
  <si>
    <t>Fin</t>
  </si>
  <si>
    <t>KC_END</t>
  </si>
  <si>
    <t>Page Suiv</t>
  </si>
  <si>
    <t>Page Prec</t>
  </si>
  <si>
    <t>KC_PGDN</t>
  </si>
  <si>
    <t>KC_PGUP</t>
  </si>
  <si>
    <t>KC_RSFT</t>
  </si>
  <si>
    <t>KC_DEL</t>
  </si>
  <si>
    <t>Eteindre</t>
  </si>
  <si>
    <t>KC_POWER</t>
  </si>
  <si>
    <t>Execute</t>
  </si>
  <si>
    <t>KC_EXECUTE</t>
  </si>
  <si>
    <t>Help</t>
  </si>
  <si>
    <t>KC_HELP</t>
  </si>
  <si>
    <t>Menu</t>
  </si>
  <si>
    <t>KC_MENU</t>
  </si>
  <si>
    <t>Select</t>
  </si>
  <si>
    <t>KC_SELECT</t>
  </si>
  <si>
    <t>Again</t>
  </si>
  <si>
    <t>KC_AGAIN</t>
  </si>
  <si>
    <t>Undo</t>
  </si>
  <si>
    <t>KC_UNDO</t>
  </si>
  <si>
    <t>Cut</t>
  </si>
  <si>
    <t>KC_CUT</t>
  </si>
  <si>
    <t>Copy</t>
  </si>
  <si>
    <t>KC_COPY</t>
  </si>
  <si>
    <t>Paste</t>
  </si>
  <si>
    <t>KC_PASTE</t>
  </si>
  <si>
    <t>Find</t>
  </si>
  <si>
    <t>KC_FIND</t>
  </si>
  <si>
    <t>Alternate Erase</t>
  </si>
  <si>
    <t>KC_ALT_ERASE</t>
  </si>
  <si>
    <t>SysReq/Attention</t>
  </si>
  <si>
    <t>KC_SYSREQ</t>
  </si>
  <si>
    <t>Cancel</t>
  </si>
  <si>
    <t>KC_CANCEL</t>
  </si>
  <si>
    <t>Clear</t>
  </si>
  <si>
    <t>KC_CLEAR</t>
  </si>
  <si>
    <t>Prior</t>
  </si>
  <si>
    <t>KC_PRIOR</t>
  </si>
  <si>
    <t>Return</t>
  </si>
  <si>
    <t>KC_RETURN</t>
  </si>
  <si>
    <t>Separator</t>
  </si>
  <si>
    <t>KC_SEPARATOR</t>
  </si>
  <si>
    <t>Out</t>
  </si>
  <si>
    <t>KC_OUT</t>
  </si>
  <si>
    <t>Oper</t>
  </si>
  <si>
    <t>KC_OPER</t>
  </si>
  <si>
    <t>Clear/Again</t>
  </si>
  <si>
    <t>KC_CLEAR_AGAIN</t>
  </si>
  <si>
    <t>CrSel/Props</t>
  </si>
  <si>
    <t>KC_CRSEL</t>
  </si>
  <si>
    <t>ExSel</t>
  </si>
  <si>
    <t>KC_EXSEL</t>
  </si>
  <si>
    <t>Eteindre'</t>
  </si>
  <si>
    <t>KC_PWR</t>
  </si>
  <si>
    <t>Veille</t>
  </si>
  <si>
    <t>KC_SLEP</t>
  </si>
  <si>
    <t>Reveil</t>
  </si>
  <si>
    <t>KC_WAKE</t>
  </si>
  <si>
    <t>Mail</t>
  </si>
  <si>
    <t>KC_MAIL</t>
  </si>
  <si>
    <t>Calc</t>
  </si>
  <si>
    <t>KC_CALC</t>
  </si>
  <si>
    <t>Ordinateur</t>
  </si>
  <si>
    <t>KC_MYCM</t>
  </si>
  <si>
    <t>Stop</t>
  </si>
  <si>
    <t>KC_STOP</t>
  </si>
  <si>
    <t>Mute</t>
  </si>
  <si>
    <t>KC_MUTE</t>
  </si>
  <si>
    <t>KC_VOLU</t>
  </si>
  <si>
    <t>Volume +</t>
  </si>
  <si>
    <t>Volume -</t>
  </si>
  <si>
    <t>KC_VOLD</t>
  </si>
  <si>
    <t>Titre +</t>
  </si>
  <si>
    <t>Titre -</t>
  </si>
  <si>
    <t>KC_MNXT</t>
  </si>
  <si>
    <t>KC_MPRV</t>
  </si>
  <si>
    <t>Stop'</t>
  </si>
  <si>
    <t>KC_MSTP</t>
  </si>
  <si>
    <t>Lect/Pause</t>
  </si>
  <si>
    <t>KC_MPLY</t>
  </si>
  <si>
    <t>Media Sel</t>
  </si>
  <si>
    <t>KC_MSEL</t>
  </si>
  <si>
    <t>KC_NLCK</t>
  </si>
  <si>
    <t>Ver Num</t>
  </si>
  <si>
    <t>KC_MS_U</t>
  </si>
  <si>
    <t>KC_MS_D</t>
  </si>
  <si>
    <t>KC_MS_L</t>
  </si>
  <si>
    <t>KC_MS_R</t>
  </si>
  <si>
    <t>Clk3</t>
  </si>
  <si>
    <t>Clk4</t>
  </si>
  <si>
    <t>Clk5</t>
  </si>
  <si>
    <t>KC_BTN3</t>
  </si>
  <si>
    <t>KC_BTN4</t>
  </si>
  <si>
    <t>KC_BTN5</t>
  </si>
  <si>
    <t>DeroulH</t>
  </si>
  <si>
    <t>DeroulB</t>
  </si>
  <si>
    <t>DeroulG</t>
  </si>
  <si>
    <t>DeroulD</t>
  </si>
  <si>
    <t>KC_WH_U</t>
  </si>
  <si>
    <t>KC_WH_D</t>
  </si>
  <si>
    <t>KC_WH_L</t>
  </si>
  <si>
    <t>KC_WH_R</t>
  </si>
  <si>
    <t>Souris Acc 0</t>
  </si>
  <si>
    <t>Souris Acc 1</t>
  </si>
  <si>
    <t>Souris Acc 2</t>
  </si>
  <si>
    <t>KC_ACL0</t>
  </si>
  <si>
    <t>KC_ACL1</t>
  </si>
  <si>
    <t>KC_ACL2</t>
  </si>
  <si>
    <t>BKLight Tog</t>
  </si>
  <si>
    <t>BL_TOGG</t>
  </si>
  <si>
    <t>BKLight Step</t>
  </si>
  <si>
    <t>BL_STEP</t>
  </si>
  <si>
    <t>BKLight On</t>
  </si>
  <si>
    <t>BKLight Off</t>
  </si>
  <si>
    <t>BL_ON</t>
  </si>
  <si>
    <t>BL_OFF</t>
  </si>
  <si>
    <t>BKLight +</t>
  </si>
  <si>
    <t>BKLight -</t>
  </si>
  <si>
    <t>BL_INC</t>
  </si>
  <si>
    <t>BL_DEC</t>
  </si>
  <si>
    <t>BKLight Breath</t>
  </si>
  <si>
    <t>BL_BRTG</t>
  </si>
  <si>
    <t>Luminosité+</t>
  </si>
  <si>
    <t>RGB_VAI</t>
  </si>
  <si>
    <t>Luminosité-</t>
  </si>
  <si>
    <t>RGB_VAD</t>
  </si>
  <si>
    <t>/*Keymap 0: Basic layer</t>
  </si>
  <si>
    <t>* ,--------------------------------------------------.           ,--------------------------------------------------.</t>
  </si>
  <si>
    <t>* |--------+------+------+------+------+------|      |           |      |------+------+------+------+------+--------|</t>
  </si>
  <si>
    <t>* `--------+------+------+------+------+-------------'           `-------------+------+------+------+------+--------'</t>
  </si>
  <si>
    <t>*   `----------------------------------'                                       `----------------------------------'</t>
  </si>
  <si>
    <t>*                                        ,-------------.       ,-------------.</t>
  </si>
  <si>
    <t>*/</t>
  </si>
  <si>
    <t>//Left hand</t>
  </si>
  <si>
    <t>//Right hand</t>
  </si>
  <si>
    <t>KC_FN1</t>
  </si>
  <si>
    <t>KC_FN2</t>
  </si>
  <si>
    <t>KC_FN3</t>
  </si>
  <si>
    <t>KC_FN4</t>
  </si>
  <si>
    <t>KC_FN5</t>
  </si>
  <si>
    <t>KC_RCTL</t>
  </si>
  <si>
    <t xml:space="preserve">    ),</t>
  </si>
  <si>
    <t xml:space="preserve">        KC_DELT        ,BP_AT          ,BP_PLUS        ,BP_MINS        ,BP_SLSH        ,BP_ASTR        ,BP_PERC        ,</t>
  </si>
  <si>
    <t xml:space="preserve">        BP_ECRC        ,BP_B           ,BP_ECUT        ,BP_P           ,BP_O           ,BP_EGRV        ,KC_TAB         ,</t>
  </si>
  <si>
    <t xml:space="preserve">        KC_BSPC        ,BP_DCRC        ,BP_V           ,BP_D           ,BP_L           ,BP_J           ,BP_Z           ,</t>
  </si>
  <si>
    <t xml:space="preserve">        BP_W           ,BP_A           ,BP_U           ,BP_I           ,BP_E           ,BP_COMM        ,                </t>
  </si>
  <si>
    <t xml:space="preserve">                        BP_C           ,BP_T           ,BP_S           ,BP_R           ,BP_N           ,BP_M           ,</t>
  </si>
  <si>
    <t xml:space="preserve">        KC_LSFT        ,BP_AGRV        ,BP_Y           ,BP_X           ,BP_DOT         ,BP_K           ,KC_ENT         ,</t>
  </si>
  <si>
    <t xml:space="preserve">        KC_ENT         ,BP_APOS        ,BP_Q           ,BP_G           ,BP_H           ,BP_F           ,BP_CCED        ,</t>
  </si>
  <si>
    <t xml:space="preserve">        KC_LCTL        ,KC_LALT        ,KC_LGUI        ,BP_ALGR        ,KC_LSFT        ,                                </t>
  </si>
  <si>
    <t xml:space="preserve">        KC_CAPS        ,KC_FN3         ,                                                                                </t>
  </si>
  <si>
    <t xml:space="preserve">                                                                                                        KC_LALT        ,</t>
  </si>
  <si>
    <t xml:space="preserve">        KC_LALT        ,                                                                                                </t>
  </si>
  <si>
    <t>[BASE] = LAYOUT_ergodox(</t>
  </si>
  <si>
    <t>http://www.keyboard-layout-editor.com (raffraichissement automatique)</t>
  </si>
  <si>
    <t xml:space="preserve">Code layout (à coller dans Keymap.c) Raffraichissement manuel (Via macro) </t>
  </si>
  <si>
    <t>0.1</t>
  </si>
  <si>
    <t>Version initiale
Génération http://www.keyboard-layout-editor.com Layout 1 OK
Génération keyboard.c Layout 1 OK (sauf commentaires)</t>
  </si>
  <si>
    <t>* |--------+------+------+------+------+------+------|           |------+------+------+------+------+------+--------|</t>
  </si>
  <si>
    <t xml:space="preserve">*                                        |      |      |       |      |      |       </t>
  </si>
  <si>
    <t>*                                 ,------|------|------|       |------+------+------.</t>
  </si>
  <si>
    <t>*                                 |      |      |      |       |      |      |      |</t>
  </si>
  <si>
    <t>*                                 |      |      |------|       |------|      |      |</t>
  </si>
  <si>
    <t>*                                 `--------------------'       `--------------------'</t>
  </si>
  <si>
    <t>*                                 |      |      | Alt  |       | Alt  |      |      |</t>
  </si>
  <si>
    <t>* |   ê    |  b   |  é   |  p   |  o   |  è   | Tab  |           |Backsp|  ^   |  v   |  d   |  l   |  j   |   z    |</t>
  </si>
  <si>
    <t>* |   w    |  a   |  u   |  i   |  e   |  ,   |------|           |------|  c   |  t   |  s   |  r   |  n   |   m    |</t>
  </si>
  <si>
    <t>* | ShiftG |  à   |  y   |  x   |  .   |  k   |Enter |           |Enter |  '   |  q   |  g   |  h   |  f   |   ç    |</t>
  </si>
  <si>
    <t xml:space="preserve">        KC_TRNS        ,KC_TRNS        ,KC_TRNS        ,KC_TRNS        ,KC_TRNS        ,KC_TRNS        ,KC_TRNS        ,</t>
  </si>
  <si>
    <t xml:space="preserve">                                                                                        KC_TRNS        ,KC_TRNS        ,</t>
  </si>
  <si>
    <t xml:space="preserve">        KC_TRNS        ,KC_TRNS        ,                                                                                </t>
  </si>
  <si>
    <t xml:space="preserve">                                                                                                        KC_TRNS        ,</t>
  </si>
  <si>
    <t xml:space="preserve">        KC_TRNS        ,                                                                                                </t>
  </si>
  <si>
    <t>NUM</t>
  </si>
  <si>
    <t>Keymap 1: Numéric layer</t>
  </si>
  <si>
    <t>ARW</t>
  </si>
  <si>
    <t>Keymap 2: Arrowlayer - F1-F12</t>
  </si>
  <si>
    <t xml:space="preserve">    )</t>
  </si>
  <si>
    <t xml:space="preserve">        KC_TRNS        ,KC_TRNS        ,KC_TRNS        ,KC_TRNS        ,KC_TRNS        ,KC_TRNS        ,KC_MPRV        ,</t>
  </si>
  <si>
    <t>* |        |      |      |      |      |      |Titre |           |Titre |      |      |      |      |      |        |</t>
  </si>
  <si>
    <t xml:space="preserve">        KC_MNXT        ,KC_TRNS        ,KC_TRNS        ,KC_TRNS        ,KC_TRNS        ,KC_TRNS        ,KC_TRNS        ,</t>
  </si>
  <si>
    <t xml:space="preserve">        KC_TRNS        ,KC_TRNS        ,KC_TRNS        ,KC_MS_U        ,KC_TRNS        ,KC_WH_U        ,KC_VOLU        ,</t>
  </si>
  <si>
    <t>* |        |      |      | MsUp |      |Deroul|Volume|           | Stop |      |      |      |      |      |        |</t>
  </si>
  <si>
    <t xml:space="preserve">        KC_MSTP        ,KC_TRNS        ,KC_TRNS        ,KC_TRNS        ,KC_TRNS        ,KC_TRNS        ,KC_TRNS        ,</t>
  </si>
  <si>
    <t xml:space="preserve">        KC_ACL2        ,KC_TRNS        ,KC_MS_L        ,KC_MS_D        ,KC_MS_R        ,KC_WH_D        ,                </t>
  </si>
  <si>
    <t>* | Souris |      |MsLeft|MsDown|MsRght|Deroul|------|           |------|      | Lclk | Rclk |      |      |        |</t>
  </si>
  <si>
    <t xml:space="preserve">                        KC_TRNS        ,KC_BTN1        ,KC_BTN2        ,KC_TRNS        ,KC_TRNS        ,KC_TRNS        ,</t>
  </si>
  <si>
    <t xml:space="preserve">        KC_ACL1        ,KC_TRNS        ,KC_WH_L        ,KC_TRNS        ,KC_WH_R        ,KC_TRNS        ,KC_VOLD        ,</t>
  </si>
  <si>
    <t>* | Souris |      |Deroul|      |Deroul|      |Volume|           |Lect/P|      |      |      |      |      |        |</t>
  </si>
  <si>
    <t xml:space="preserve">        KC_MPLY        ,KC_TRNS        ,KC_TRNS        ,KC_TRNS        ,KC_TRNS        ,KC_TRNS        ,KC_TRNS        ,</t>
  </si>
  <si>
    <t xml:space="preserve">                                        KC_FN2         ,KC_END         ,KC_RGUI        ,KC_LALT        ,KC_RCTL        ,</t>
  </si>
  <si>
    <t>*   |Souris| Alt  | GUIL |Alt Gr|ShiftG|                                       | Fn2  | Fin  | GUID | Alt  |CtrlD   |</t>
  </si>
  <si>
    <t>/*Keymap 2: Arrowlayer - F1-F12</t>
  </si>
  <si>
    <t>[ARW] = LAYOUT_ergodox(</t>
  </si>
  <si>
    <t xml:space="preserve">        KC_TRNS        ,KC_F1          ,KC_F2          ,KC_F3          ,KC_F4          ,KC_F5          ,KC_F6          ,</t>
  </si>
  <si>
    <t>* |        |  F1  |  F2  |  F3  |  F4  |  F5  |  F6  |           |  F7  |  F8  |  F9  | F10  | F11  | F12  |        |</t>
  </si>
  <si>
    <t xml:space="preserve">        KC_F7          ,KC_F8          ,KC_F9          ,KC_F10         ,KC_F11         ,KC_F12         ,KC_TRNS        ,</t>
  </si>
  <si>
    <t xml:space="preserve">        KC_TRNS        ,KC_TRNS        ,KC_LEFT        ,KC_DOWN        ,KC_RGHT        ,KC_TRNS        ,                </t>
  </si>
  <si>
    <t>* |        |      | Left | Down |Right |      |------|           |------|      | Left | Down |Right |      |        |</t>
  </si>
  <si>
    <t xml:space="preserve">                        KC_TRNS        ,KC_LEFT        ,KC_DOWN        ,KC_RGHT        ,KC_TRNS        ,KC_TRNS        ,</t>
  </si>
  <si>
    <t xml:space="preserve">                                                                                        KC_FN3         ,KC_ESC         ,</t>
  </si>
  <si>
    <t xml:space="preserve">*                                        | Fn3  | Esc  |       |      | Fn3  |       </t>
  </si>
  <si>
    <t xml:space="preserve">        KC_TRNS        ,KC_FN3         ,                                                                                </t>
  </si>
  <si>
    <t>/*Keymap 1: Numéric layer</t>
  </si>
  <si>
    <t>[NUM] = LAYOUT_ergodox(</t>
  </si>
  <si>
    <t xml:space="preserve">        KC_DELT        ,KC_TRNS        ,BP_PLUS        ,BP_MINS        ,BP_SLSH        ,BP_ASTR        ,BP_PERC        ,</t>
  </si>
  <si>
    <t>* |        |      |      |      |      |      |      |           | Del  |      |  +   |  -   |  /   |  *   |   %    |</t>
  </si>
  <si>
    <t xml:space="preserve">*                                        | Fn3  | Esc  |       |Caps L| Fn3  |       </t>
  </si>
  <si>
    <t>MDIA</t>
  </si>
  <si>
    <t>[MDIA] = LAYOUT_ergodox(</t>
  </si>
  <si>
    <t>*   |CtrlG | Alt  | GUIL |Alt Gr|ShiftG|                                       | Fn2  |Alt Gr| GUID | Alt  |CtrlD   |</t>
  </si>
  <si>
    <t>LSFT(KC_F1)</t>
  </si>
  <si>
    <t>LSFT(KC_F2)</t>
  </si>
  <si>
    <t>LSFT(KC_F3)</t>
  </si>
  <si>
    <t>LSFT(KC_F4)</t>
  </si>
  <si>
    <t>LSFT(KC_F5)</t>
  </si>
  <si>
    <t>LSFT(KC_F6)</t>
  </si>
  <si>
    <t>LSFT(KC_F7)</t>
  </si>
  <si>
    <t>LSFT(KC_F8)</t>
  </si>
  <si>
    <t>LSFT(KC_F9)</t>
  </si>
  <si>
    <t>LSFT(KC_F10)</t>
  </si>
  <si>
    <t>LSFT(KC_F11)</t>
  </si>
  <si>
    <t>LSFT(KC_F12)</t>
  </si>
  <si>
    <t>SH(F1)</t>
  </si>
  <si>
    <t>SH(F2)</t>
  </si>
  <si>
    <t>SH(F3)</t>
  </si>
  <si>
    <t>SH(F4)</t>
  </si>
  <si>
    <t>SH(F5)</t>
  </si>
  <si>
    <t>SH(F6)</t>
  </si>
  <si>
    <t>SH(F7)</t>
  </si>
  <si>
    <t>SH(F8)</t>
  </si>
  <si>
    <t>SH(F9)</t>
  </si>
  <si>
    <t>SH(F10)</t>
  </si>
  <si>
    <t>SH(F11)</t>
  </si>
  <si>
    <t>SH(F12)</t>
  </si>
  <si>
    <t xml:space="preserve">        KC_TRNS        ,KC_TRNS        ,BP_9           ,BP_8           ,BP_7           ,KC_TRNS        ,BP_PLUS        ,</t>
  </si>
  <si>
    <t>* |        |      |  9   |  8   |  7   |      |  +   |           |  /   |      |  7   |  8   |  9   |      |        |</t>
  </si>
  <si>
    <t xml:space="preserve">        BP_SLSH        ,KC_TRNS        ,BP_7           ,BP_8           ,BP_9           ,KC_TRNS        ,KC_TRNS        ,</t>
  </si>
  <si>
    <t xml:space="preserve">        KC_TRNS        ,KC_TRNS        ,BP_6           ,BP_5           ,BP_4           ,KC_CUT         ,                </t>
  </si>
  <si>
    <t>* |        |      |  6   |  5   |  4   | Cut  |------|           |------| Copy |  4   |  5   |  6   |      |        |</t>
  </si>
  <si>
    <t xml:space="preserve">                        KC_COPY        ,BP_4           ,BP_5           ,BP_6           ,KC_TRNS        ,KC_TRNS        ,</t>
  </si>
  <si>
    <t xml:space="preserve">        KC_TRNS        ,KC_TRNS        ,BP_3           ,BP_2           ,BP_1           ,KC_TRNS        ,BP_MINS        ,</t>
  </si>
  <si>
    <t>* |        |      |  3   |  2   |  1   |      |  -   |           |  *   |      |  1   |  2   |  3   |      |        |</t>
  </si>
  <si>
    <t xml:space="preserve">        BP_ASTR        ,KC_TRNS        ,BP_1           ,BP_2           ,BP_3           ,KC_TRNS        ,KC_TRNS        ,</t>
  </si>
  <si>
    <t xml:space="preserve">        KC_CALC        ,KC_TRNS        ,BP_DOT         ,BP_0           ,BP_COMM        ,                                </t>
  </si>
  <si>
    <t>*   | Calc |      |  .   |  0   |  ,   |                                       |  ,   |  0   |  .   |      |        |</t>
  </si>
  <si>
    <t xml:space="preserve">                                        BP_COMM        ,BP_0           ,BP_DOT         ,KC_TRNS        ,KC_TRNS        ,</t>
  </si>
  <si>
    <t xml:space="preserve">                                                                        BP_0           ,KC_TRNS        ,BP_1           ,</t>
  </si>
  <si>
    <t>*                                 |  0   |      |  1   |       |  1   |Paste |  0   |</t>
  </si>
  <si>
    <t xml:space="preserve">        BP_1           ,KC_PASTE       ,BP_0                                                                           </t>
  </si>
  <si>
    <t xml:space="preserve">        KC_TRNS        ,KC_TRNS        ,KC_HOME        ,KC_UP          ,KC_END         ,KC_TRNS        ,KC_INS         ,</t>
  </si>
  <si>
    <t>* |        |      |Debut |  Up  | Fin  |      |Inser |           |Page S|      |Debut |  Up  | Fin  |      |        |</t>
  </si>
  <si>
    <t xml:space="preserve">        KC_PGDN        ,KC_TRNS        ,KC_HOME        ,KC_UP          ,KC_END         ,KC_TRNS        ,KC_TRNS        ,</t>
  </si>
  <si>
    <t xml:space="preserve">        KC_TRNS        ,KC_TRNS        ,KC_PGUP        ,KC_TRNS        ,KC_PGDN        ,KC_TRNS        ,KC_INS         ,</t>
  </si>
  <si>
    <t>* |        |      |Page P|      |Page S|      |Inser |           |Page P|      |Page P|      |Page S|      |        |</t>
  </si>
  <si>
    <t xml:space="preserve">        KC_PGUP        ,KC_TRNS        ,KC_PGUP        ,KC_TRNS        ,KC_PGDN        ,KC_TRNS        ,KC_TRNS        ,</t>
  </si>
  <si>
    <t xml:space="preserve">                                        KC_TRNS        ,BP_ALGR        ,KC_RGUI        ,KC_LALT        ,KC_RCTL        ,</t>
  </si>
  <si>
    <t>*   |CtrlG | Alt  | GUIL |Alt Gr|ShiftG|                                       |      |Alt Gr| GUID | Alt  |CtrlD   |</t>
  </si>
  <si>
    <t xml:space="preserve">                                                                        KC_WH_L        ,KC_FN1         ,KC_TRNS        ,</t>
  </si>
  <si>
    <t>*                                 |Deroul| Fn1  |      |       | Fn1  |ShiftD|Deroul|</t>
  </si>
  <si>
    <t xml:space="preserve">        KC_FN1         ,KC_RSFT        ,KC_WH_R                                                                        </t>
  </si>
  <si>
    <t xml:space="preserve">                                                                        KC_MUTE        ,KC_MUTE        ,KC_FN2         ,</t>
  </si>
  <si>
    <t>*                                 | Mute | Mute | Fn2  |       | Fn1  | Mute | Mute |</t>
  </si>
  <si>
    <t xml:space="preserve">        KC_FN1         ,KC_MUTE        ,KC_MUTE                                                                        </t>
  </si>
  <si>
    <t xml:space="preserve">        KC_TRNS        ,KC_TRNS        ,KC_F12         ,KC_F11         ,KC_F10         ,KC_TRNS        ,KC_TRNS        ,</t>
  </si>
  <si>
    <t>* |        |      | F12  | F11  | F10  |      |      |           | Del  |      | F10  | F11  | F12  |      |        |</t>
  </si>
  <si>
    <t xml:space="preserve">        KC_DELT        ,KC_TRNS        ,KC_F10         ,KC_F11         ,KC_F12         ,KC_TRNS        ,KC_TRNS        ,</t>
  </si>
  <si>
    <t xml:space="preserve">        KC_TRNS        ,KC_TRNS        ,KC_F9          ,KC_F8          ,KC_F7          ,KC_TRNS        ,LSFT(KC_F2)    ,</t>
  </si>
  <si>
    <t>* |        |      |  F9  |  F8  |  F7  |      |SH(F2)|           |SH(F3)|      |  F7  |  F8  |  F9  |      |        |</t>
  </si>
  <si>
    <t xml:space="preserve">        LSFT(KC_F3)    ,KC_TRNS        ,KC_F7          ,KC_F8          ,KC_F9          ,KC_TRNS        ,KC_TRNS        ,</t>
  </si>
  <si>
    <t xml:space="preserve">        KC_TRNS        ,KC_TRNS        ,KC_F6          ,KC_F5          ,KC_F4          ,LSFT(KC_F8)    ,                </t>
  </si>
  <si>
    <t>* |        |      |  F6  |  F5  |  F4  |SH(F8)|------|           |------|SH(F9)|  F4  |  F5  |  F6  |      |        |</t>
  </si>
  <si>
    <t xml:space="preserve">                        LSFT(KC_F9)    ,KC_F4          ,KC_F5          ,KC_F6          ,KC_TRNS        ,KC_TRNS        ,</t>
  </si>
  <si>
    <t xml:space="preserve">        KC_TRNS        ,KC_TRNS        ,KC_F3          ,KC_F2          ,KC_F1          ,KC_TRNS        ,LSFT(KC_F5)    ,</t>
  </si>
  <si>
    <t>* |        |      |  F3  |  F2  |  F1  |      |SH(F5)|           |SH(F7)|      |  F1  |  F2  |  F3  |      |        |</t>
  </si>
  <si>
    <t xml:space="preserve">        LSFT(KC_F7)    ,KC_TRNS        ,KC_F1          ,KC_F2          ,KC_F3          ,KC_TRNS        ,KC_TRNS        ,</t>
  </si>
  <si>
    <t xml:space="preserve">                                                                        KC_F5          ,KC_LSFT        ,KC_F8          ,</t>
  </si>
  <si>
    <t>*                                 |  F5  |ShiftG|  F8  |       |      |Paste |  F8  |</t>
  </si>
  <si>
    <t xml:space="preserve">        KC_TRNS        ,KC_PASTE       ,KC_F8                                                                          </t>
  </si>
  <si>
    <t>Keymap 4: Funtion keys layer</t>
  </si>
  <si>
    <t>Keymap 3: Multimedia -Mouse</t>
  </si>
  <si>
    <t>/*Keymap 3: Multimedia -Mouse</t>
  </si>
  <si>
    <t>/*Keymap 4: Funtion keys layer</t>
  </si>
  <si>
    <t>FONC</t>
  </si>
  <si>
    <t>KC_SPC</t>
  </si>
  <si>
    <t>[FONC] = LAYOUT_ergodox(</t>
  </si>
  <si>
    <t>KC_ALGR</t>
  </si>
  <si>
    <t xml:space="preserve">        BP_DLR         ,BP_DQOT        ,BP_LGIL        ,BP_RGIL        ,KC_TRNS        ,BP_RPRN        ,BP_EQL         ,</t>
  </si>
  <si>
    <t>* |   $    |  "   |  «   |  »   |  (   |  )   |  =   |           | Del  |  @   |  +   |  -   |  /   |  *   |   %    |</t>
  </si>
  <si>
    <t xml:space="preserve">        KC_LCTL        ,KC_LALT        ,KC_LGUI        ,KC_ALGR        ,KC_LSFT        ,                                </t>
  </si>
  <si>
    <t xml:space="preserve">                                        KC_FN2         ,KC_ALGR        ,KC_RGUI        ,KC_LALT        ,KC_RCTL        ,</t>
  </si>
  <si>
    <t xml:space="preserve">                                        KC_TRNS        ,KC_ALGR        ,KC_RGUI        ,KC_LALT        ,KC_RCTL        ,</t>
  </si>
  <si>
    <t xml:space="preserve">        KC_ACL0        ,KC_LALT        ,KC_LGUI        ,KC_ALGR        ,KC_LSFT        ,                                </t>
  </si>
  <si>
    <t xml:space="preserve">        KC_BSPC        ,KC_RSFT        ,KC_SPC                                                                         </t>
  </si>
  <si>
    <t xml:space="preserve">                                                                        KC_SPC         ,KC_ENT         ,KC_DELT        ,</t>
  </si>
  <si>
    <t>*                                 |Space |Enter | Del  |       |Backsp|ShiftD|Space 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</si>
</sst>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ourier"/>
      <family val="3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textRotation="90"/>
    </xf>
    <xf numFmtId="0" fontId="0" fillId="0" borderId="3" xfId="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5" xfId="0" applyFill="1" applyBorder="1"/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0" fillId="4" borderId="3" xfId="0" quotePrefix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4" borderId="20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wrapText="1"/>
    </xf>
    <xf numFmtId="20" fontId="0" fillId="0" borderId="0" xfId="0" applyNumberForma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5" borderId="7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8" xfId="0" applyFont="1" applyFill="1" applyBorder="1" applyAlignment="1">
      <alignment horizontal="left"/>
    </xf>
    <xf numFmtId="0" fontId="6" fillId="5" borderId="14" xfId="0" applyFont="1" applyFill="1" applyBorder="1" applyAlignment="1">
      <alignment horizontal="left"/>
    </xf>
    <xf numFmtId="0" fontId="6" fillId="5" borderId="16" xfId="0" applyFont="1" applyFill="1" applyBorder="1" applyAlignment="1">
      <alignment horizontal="left"/>
    </xf>
    <xf numFmtId="0" fontId="6" fillId="5" borderId="15" xfId="0" applyFont="1" applyFill="1" applyBorder="1" applyAlignment="1">
      <alignment horizontal="left"/>
    </xf>
    <xf numFmtId="0" fontId="6" fillId="5" borderId="12" xfId="0" applyFont="1" applyFill="1" applyBorder="1" applyAlignment="1">
      <alignment horizontal="left"/>
    </xf>
    <xf numFmtId="0" fontId="6" fillId="5" borderId="17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5" fillId="2" borderId="18" xfId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eyboard-layout-editor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eyboard-layout-editor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eyboard-layout-editor.com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keyboard-layout-editor.com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keyboard-layout-editor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AJ76"/>
  <sheetViews>
    <sheetView topLeftCell="A19" zoomScale="85" zoomScaleNormal="85" workbookViewId="0">
      <selection activeCell="M20" sqref="M20:N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89" t="s">
        <v>346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0"/>
    </row>
    <row r="2" spans="1:30" ht="23.1" hidden="1" customHeight="1" thickBot="1" x14ac:dyDescent="0.3">
      <c r="A2" s="8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0"/>
    </row>
    <row r="3" spans="1:30" ht="23.1" customHeight="1" x14ac:dyDescent="0.25">
      <c r="A3" s="8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0"/>
    </row>
    <row r="4" spans="1:30" ht="23.1" customHeight="1" thickBot="1" x14ac:dyDescent="0.3">
      <c r="A4" s="89" t="s">
        <v>351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0"/>
    </row>
    <row r="5" spans="1:30" ht="23.1" customHeight="1" x14ac:dyDescent="0.25">
      <c r="A5" s="31" t="s">
        <v>31</v>
      </c>
      <c r="B5" s="32" t="s">
        <v>57</v>
      </c>
      <c r="C5" s="31">
        <v>1</v>
      </c>
      <c r="D5" s="33" t="s">
        <v>58</v>
      </c>
      <c r="E5" s="31">
        <v>2</v>
      </c>
      <c r="F5" s="33" t="s">
        <v>59</v>
      </c>
      <c r="G5" s="31">
        <v>3</v>
      </c>
      <c r="H5" s="33" t="s">
        <v>60</v>
      </c>
      <c r="I5" s="31">
        <v>4</v>
      </c>
      <c r="J5" s="33" t="s">
        <v>61</v>
      </c>
      <c r="K5" s="31">
        <v>5</v>
      </c>
      <c r="L5" s="33" t="s">
        <v>62</v>
      </c>
      <c r="M5" s="31" t="s">
        <v>39</v>
      </c>
      <c r="N5" s="33" t="s">
        <v>67</v>
      </c>
      <c r="O5" s="10"/>
      <c r="P5" s="11"/>
      <c r="Q5" s="87" t="s">
        <v>210</v>
      </c>
      <c r="R5" s="88"/>
      <c r="S5" s="31">
        <v>6</v>
      </c>
      <c r="T5" s="33"/>
      <c r="U5" s="31">
        <v>7</v>
      </c>
      <c r="V5" s="33" t="s">
        <v>63</v>
      </c>
      <c r="W5" s="31">
        <v>8</v>
      </c>
      <c r="X5" s="33" t="s">
        <v>64</v>
      </c>
      <c r="Y5" s="31">
        <v>9</v>
      </c>
      <c r="Z5" s="33" t="s">
        <v>65</v>
      </c>
      <c r="AA5" s="31">
        <v>0</v>
      </c>
      <c r="AB5" s="33" t="s">
        <v>66</v>
      </c>
      <c r="AC5" s="31" t="s">
        <v>30</v>
      </c>
      <c r="AD5" s="33" t="s">
        <v>68</v>
      </c>
    </row>
    <row r="6" spans="1:30" ht="23.1" customHeight="1" thickBot="1" x14ac:dyDescent="0.3">
      <c r="A6" s="23" t="s">
        <v>16</v>
      </c>
      <c r="B6" s="37" t="s">
        <v>48</v>
      </c>
      <c r="C6" s="23" t="s">
        <v>220</v>
      </c>
      <c r="D6" s="35" t="s">
        <v>49</v>
      </c>
      <c r="E6" s="23" t="s">
        <v>44</v>
      </c>
      <c r="F6" s="35" t="s">
        <v>32</v>
      </c>
      <c r="G6" s="23" t="s">
        <v>43</v>
      </c>
      <c r="H6" s="35" t="s">
        <v>50</v>
      </c>
      <c r="I6" s="23" t="s">
        <v>22</v>
      </c>
      <c r="J6" s="35" t="s">
        <v>35</v>
      </c>
      <c r="K6" s="23" t="s">
        <v>28</v>
      </c>
      <c r="L6" s="35" t="s">
        <v>40</v>
      </c>
      <c r="M6" s="23" t="s">
        <v>29</v>
      </c>
      <c r="N6" s="35" t="s">
        <v>55</v>
      </c>
      <c r="O6" s="10"/>
      <c r="P6" s="11"/>
      <c r="Q6" s="91"/>
      <c r="R6" s="92"/>
      <c r="S6" s="6" t="s">
        <v>38</v>
      </c>
      <c r="T6" s="35" t="s">
        <v>15</v>
      </c>
      <c r="U6" s="6" t="s">
        <v>41</v>
      </c>
      <c r="V6" s="35" t="s">
        <v>51</v>
      </c>
      <c r="W6" s="6" t="s">
        <v>23</v>
      </c>
      <c r="X6" s="35" t="s">
        <v>52</v>
      </c>
      <c r="Y6" s="6" t="s">
        <v>47</v>
      </c>
      <c r="Z6" s="35" t="s">
        <v>53</v>
      </c>
      <c r="AA6" s="6" t="s">
        <v>45</v>
      </c>
      <c r="AB6" s="35" t="s">
        <v>54</v>
      </c>
      <c r="AC6" s="6" t="s">
        <v>46</v>
      </c>
      <c r="AD6" s="35" t="s">
        <v>56</v>
      </c>
    </row>
    <row r="7" spans="1:30" ht="23.1" customHeight="1" x14ac:dyDescent="0.25">
      <c r="A7" s="31" t="s">
        <v>155</v>
      </c>
      <c r="B7" s="32"/>
      <c r="C7" s="31" t="s">
        <v>84</v>
      </c>
      <c r="D7" s="32" t="s">
        <v>104</v>
      </c>
      <c r="E7" s="31" t="s">
        <v>85</v>
      </c>
      <c r="F7" s="33" t="s">
        <v>105</v>
      </c>
      <c r="G7" s="31" t="s">
        <v>81</v>
      </c>
      <c r="H7" s="33" t="s">
        <v>106</v>
      </c>
      <c r="I7" s="31" t="s">
        <v>80</v>
      </c>
      <c r="J7" s="33" t="s">
        <v>107</v>
      </c>
      <c r="K7" s="31" t="s">
        <v>86</v>
      </c>
      <c r="L7" s="33" t="s">
        <v>30</v>
      </c>
      <c r="M7" s="87" t="s">
        <v>207</v>
      </c>
      <c r="N7" s="88"/>
      <c r="O7" s="10"/>
      <c r="P7" s="11"/>
      <c r="Q7" s="87" t="s">
        <v>209</v>
      </c>
      <c r="R7" s="88"/>
      <c r="S7" s="31" t="s">
        <v>69</v>
      </c>
      <c r="T7" s="33"/>
      <c r="U7" s="31" t="s">
        <v>87</v>
      </c>
      <c r="V7" s="33"/>
      <c r="W7" s="31" t="s">
        <v>88</v>
      </c>
      <c r="X7" s="33" t="s">
        <v>108</v>
      </c>
      <c r="Y7" s="31" t="s">
        <v>89</v>
      </c>
      <c r="Z7" s="33"/>
      <c r="AA7" s="31" t="s">
        <v>90</v>
      </c>
      <c r="AB7" s="33" t="s">
        <v>109</v>
      </c>
      <c r="AC7" s="31" t="s">
        <v>4</v>
      </c>
      <c r="AD7" s="33" t="s">
        <v>110</v>
      </c>
    </row>
    <row r="8" spans="1:30" ht="23.1" customHeight="1" thickBot="1" x14ac:dyDescent="0.3">
      <c r="A8" s="23" t="s">
        <v>157</v>
      </c>
      <c r="B8" s="37" t="s">
        <v>47</v>
      </c>
      <c r="C8" s="23" t="s">
        <v>91</v>
      </c>
      <c r="D8" s="37" t="s">
        <v>36</v>
      </c>
      <c r="E8" s="23" t="s">
        <v>19</v>
      </c>
      <c r="F8" s="35" t="s">
        <v>96</v>
      </c>
      <c r="G8" s="23" t="s">
        <v>14</v>
      </c>
      <c r="H8" s="35" t="s">
        <v>18</v>
      </c>
      <c r="I8" s="23" t="s">
        <v>13</v>
      </c>
      <c r="J8" s="35" t="s">
        <v>97</v>
      </c>
      <c r="K8" s="6" t="s">
        <v>24</v>
      </c>
      <c r="L8" s="35" t="s">
        <v>30</v>
      </c>
      <c r="M8" s="89"/>
      <c r="N8" s="90"/>
      <c r="O8" s="10"/>
      <c r="P8" s="11"/>
      <c r="Q8" s="89"/>
      <c r="R8" s="90"/>
      <c r="S8" s="6" t="s">
        <v>15</v>
      </c>
      <c r="T8" s="35" t="s">
        <v>98</v>
      </c>
      <c r="U8" s="6" t="s">
        <v>92</v>
      </c>
      <c r="V8" s="35" t="s">
        <v>99</v>
      </c>
      <c r="W8" s="6" t="s">
        <v>93</v>
      </c>
      <c r="X8" s="35" t="s">
        <v>100</v>
      </c>
      <c r="Y8" s="6" t="s">
        <v>94</v>
      </c>
      <c r="Z8" s="35"/>
      <c r="AA8" s="6" t="s">
        <v>95</v>
      </c>
      <c r="AB8" s="35" t="s">
        <v>101</v>
      </c>
      <c r="AC8" s="6" t="s">
        <v>6</v>
      </c>
      <c r="AD8" s="35" t="s">
        <v>102</v>
      </c>
    </row>
    <row r="9" spans="1:30" ht="23.1" customHeight="1" thickBot="1" x14ac:dyDescent="0.3">
      <c r="A9" s="31" t="s">
        <v>73</v>
      </c>
      <c r="B9" s="33"/>
      <c r="C9" s="31" t="s">
        <v>3</v>
      </c>
      <c r="D9" s="32" t="s">
        <v>142</v>
      </c>
      <c r="E9" s="31" t="s">
        <v>78</v>
      </c>
      <c r="F9" s="33" t="s">
        <v>143</v>
      </c>
      <c r="G9" s="31" t="s">
        <v>79</v>
      </c>
      <c r="H9" s="33" t="s">
        <v>144</v>
      </c>
      <c r="I9" s="31" t="s">
        <v>74</v>
      </c>
      <c r="J9" s="33" t="s">
        <v>111</v>
      </c>
      <c r="K9" s="31" t="s">
        <v>126</v>
      </c>
      <c r="L9" s="33"/>
      <c r="M9" s="91"/>
      <c r="N9" s="92"/>
      <c r="O9" s="10"/>
      <c r="P9" s="11"/>
      <c r="Q9" s="91"/>
      <c r="R9" s="92"/>
      <c r="S9" s="31" t="s">
        <v>127</v>
      </c>
      <c r="T9" s="33" t="s">
        <v>145</v>
      </c>
      <c r="U9" s="31" t="s">
        <v>76</v>
      </c>
      <c r="V9" s="33" t="s">
        <v>146</v>
      </c>
      <c r="W9" s="31" t="s">
        <v>119</v>
      </c>
      <c r="X9" s="33" t="s">
        <v>147</v>
      </c>
      <c r="Y9" s="31" t="s">
        <v>75</v>
      </c>
      <c r="Z9" s="33" t="s">
        <v>148</v>
      </c>
      <c r="AA9" s="31" t="s">
        <v>128</v>
      </c>
      <c r="AB9" s="33"/>
      <c r="AC9" s="31" t="s">
        <v>124</v>
      </c>
      <c r="AD9" s="33" t="s">
        <v>149</v>
      </c>
    </row>
    <row r="10" spans="1:30" ht="23.1" customHeight="1" thickBot="1" x14ac:dyDescent="0.3">
      <c r="A10" s="23" t="s">
        <v>71</v>
      </c>
      <c r="B10" s="35" t="s">
        <v>103</v>
      </c>
      <c r="C10" s="23" t="s">
        <v>5</v>
      </c>
      <c r="D10" s="37" t="s">
        <v>133</v>
      </c>
      <c r="E10" s="23" t="s">
        <v>11</v>
      </c>
      <c r="F10" s="35" t="s">
        <v>118</v>
      </c>
      <c r="G10" s="23" t="s">
        <v>12</v>
      </c>
      <c r="H10" s="35" t="s">
        <v>82</v>
      </c>
      <c r="I10" s="23" t="s">
        <v>7</v>
      </c>
      <c r="J10" s="35" t="s">
        <v>134</v>
      </c>
      <c r="K10" s="23" t="s">
        <v>130</v>
      </c>
      <c r="L10" s="35" t="s">
        <v>135</v>
      </c>
      <c r="M10" s="87" t="s">
        <v>208</v>
      </c>
      <c r="N10" s="88"/>
      <c r="O10" s="10"/>
      <c r="P10" s="11"/>
      <c r="Q10" s="87" t="s">
        <v>208</v>
      </c>
      <c r="R10" s="88"/>
      <c r="S10" s="6" t="s">
        <v>131</v>
      </c>
      <c r="T10" s="35" t="s">
        <v>136</v>
      </c>
      <c r="U10" s="6" t="s">
        <v>9</v>
      </c>
      <c r="V10" s="35" t="s">
        <v>137</v>
      </c>
      <c r="W10" s="6" t="s">
        <v>112</v>
      </c>
      <c r="X10" s="35" t="s">
        <v>139</v>
      </c>
      <c r="Y10" s="6" t="s">
        <v>8</v>
      </c>
      <c r="Z10" s="35" t="s">
        <v>138</v>
      </c>
      <c r="AA10" s="6" t="s">
        <v>132</v>
      </c>
      <c r="AB10" s="35" t="s">
        <v>33</v>
      </c>
      <c r="AC10" s="6" t="s">
        <v>117</v>
      </c>
      <c r="AD10" s="35" t="s">
        <v>140</v>
      </c>
    </row>
    <row r="11" spans="1:30" ht="23.1" customHeight="1" x14ac:dyDescent="0.25">
      <c r="A11" s="87" t="s">
        <v>349</v>
      </c>
      <c r="B11" s="88"/>
      <c r="C11" s="31" t="s">
        <v>156</v>
      </c>
      <c r="D11" s="33"/>
      <c r="E11" s="31" t="s">
        <v>77</v>
      </c>
      <c r="F11" s="33" t="s">
        <v>162</v>
      </c>
      <c r="G11" s="31" t="s">
        <v>153</v>
      </c>
      <c r="H11" s="33" t="s">
        <v>135</v>
      </c>
      <c r="I11" s="31" t="s">
        <v>150</v>
      </c>
      <c r="J11" s="33" t="s">
        <v>163</v>
      </c>
      <c r="K11" s="31" t="s">
        <v>123</v>
      </c>
      <c r="L11" s="33" t="s">
        <v>164</v>
      </c>
      <c r="M11" s="89"/>
      <c r="N11" s="90"/>
      <c r="O11" s="89"/>
      <c r="P11" s="90"/>
      <c r="Q11" s="89"/>
      <c r="R11" s="90"/>
      <c r="S11" s="34" t="s">
        <v>154</v>
      </c>
      <c r="T11" s="33" t="s">
        <v>165</v>
      </c>
      <c r="U11" s="31" t="s">
        <v>72</v>
      </c>
      <c r="V11" s="33" t="s">
        <v>166</v>
      </c>
      <c r="W11" s="31" t="s">
        <v>121</v>
      </c>
      <c r="X11" s="33"/>
      <c r="Y11" s="31" t="s">
        <v>122</v>
      </c>
      <c r="Z11" s="33" t="s">
        <v>167</v>
      </c>
      <c r="AA11" s="31" t="s">
        <v>120</v>
      </c>
      <c r="AB11" s="33" t="s">
        <v>168</v>
      </c>
      <c r="AC11" s="31" t="s">
        <v>129</v>
      </c>
      <c r="AD11" s="33" t="s">
        <v>130</v>
      </c>
    </row>
    <row r="12" spans="1:30" ht="23.1" customHeight="1" thickBot="1" x14ac:dyDescent="0.3">
      <c r="A12" s="91"/>
      <c r="B12" s="92"/>
      <c r="C12" s="23" t="s">
        <v>27</v>
      </c>
      <c r="D12" s="35" t="s">
        <v>221</v>
      </c>
      <c r="E12" s="23" t="s">
        <v>10</v>
      </c>
      <c r="F12" s="35" t="s">
        <v>34</v>
      </c>
      <c r="G12" s="23" t="s">
        <v>151</v>
      </c>
      <c r="H12" s="35" t="s">
        <v>42</v>
      </c>
      <c r="I12" s="23" t="s">
        <v>152</v>
      </c>
      <c r="J12" s="35" t="s">
        <v>158</v>
      </c>
      <c r="K12" s="23" t="s">
        <v>116</v>
      </c>
      <c r="L12" s="35" t="s">
        <v>33</v>
      </c>
      <c r="M12" s="91"/>
      <c r="N12" s="92"/>
      <c r="O12" s="89"/>
      <c r="P12" s="90"/>
      <c r="Q12" s="91"/>
      <c r="R12" s="92"/>
      <c r="S12" s="9" t="s">
        <v>21</v>
      </c>
      <c r="T12" s="35" t="s">
        <v>159</v>
      </c>
      <c r="U12" s="6" t="s">
        <v>70</v>
      </c>
      <c r="V12" s="35" t="s">
        <v>39</v>
      </c>
      <c r="W12" s="6" t="s">
        <v>114</v>
      </c>
      <c r="X12" s="35" t="s">
        <v>125</v>
      </c>
      <c r="Y12" s="6" t="s">
        <v>115</v>
      </c>
      <c r="Z12" s="35" t="s">
        <v>160</v>
      </c>
      <c r="AA12" s="6" t="s">
        <v>113</v>
      </c>
      <c r="AB12" s="36" t="s">
        <v>161</v>
      </c>
      <c r="AC12" s="6" t="s">
        <v>26</v>
      </c>
      <c r="AD12" s="35" t="s">
        <v>141</v>
      </c>
    </row>
    <row r="13" spans="1:30" ht="23.1" customHeight="1" x14ac:dyDescent="0.25">
      <c r="A13" s="87" t="s">
        <v>347</v>
      </c>
      <c r="B13" s="88"/>
      <c r="C13" s="87" t="s">
        <v>211</v>
      </c>
      <c r="D13" s="88"/>
      <c r="E13" s="87" t="s">
        <v>426</v>
      </c>
      <c r="F13" s="88"/>
      <c r="G13" s="87" t="s">
        <v>212</v>
      </c>
      <c r="H13" s="88"/>
      <c r="I13" s="87" t="s">
        <v>349</v>
      </c>
      <c r="J13" s="88"/>
      <c r="K13" s="16"/>
      <c r="L13" s="22"/>
      <c r="M13" s="22"/>
      <c r="N13" s="22"/>
      <c r="O13" s="5"/>
      <c r="P13" s="5"/>
      <c r="Q13" s="22"/>
      <c r="R13" s="22"/>
      <c r="S13" s="22"/>
      <c r="T13" s="17"/>
      <c r="U13" s="93" t="s">
        <v>217</v>
      </c>
      <c r="V13" s="94"/>
      <c r="W13" s="87" t="s">
        <v>212</v>
      </c>
      <c r="X13" s="88"/>
      <c r="Y13" s="87" t="s">
        <v>427</v>
      </c>
      <c r="Z13" s="88"/>
      <c r="AA13" s="87" t="s">
        <v>211</v>
      </c>
      <c r="AB13" s="88"/>
      <c r="AC13" s="87" t="s">
        <v>348</v>
      </c>
      <c r="AD13" s="88"/>
    </row>
    <row r="14" spans="1:30" ht="23.1" customHeight="1" thickBot="1" x14ac:dyDescent="0.3">
      <c r="A14" s="91"/>
      <c r="B14" s="92"/>
      <c r="C14" s="91"/>
      <c r="D14" s="92"/>
      <c r="E14" s="91"/>
      <c r="F14" s="92"/>
      <c r="G14" s="91"/>
      <c r="H14" s="92"/>
      <c r="I14" s="91"/>
      <c r="J14" s="92"/>
      <c r="K14" s="10"/>
      <c r="L14" s="5"/>
      <c r="M14" s="5"/>
      <c r="N14" s="5"/>
      <c r="O14" s="5"/>
      <c r="P14" s="5"/>
      <c r="Q14" s="5"/>
      <c r="R14" s="5"/>
      <c r="S14" s="5"/>
      <c r="T14" s="11"/>
      <c r="U14" s="95"/>
      <c r="V14" s="96"/>
      <c r="W14" s="91"/>
      <c r="X14" s="92"/>
      <c r="Y14" s="91"/>
      <c r="Z14" s="92"/>
      <c r="AA14" s="91"/>
      <c r="AB14" s="92"/>
      <c r="AC14" s="91"/>
      <c r="AD14" s="92"/>
    </row>
    <row r="15" spans="1:30" ht="15.75" thickBot="1" x14ac:dyDescent="0.3"/>
    <row r="16" spans="1:30" ht="23.1" customHeight="1" x14ac:dyDescent="0.25">
      <c r="I16" s="5"/>
      <c r="J16" s="11"/>
      <c r="K16" s="93" t="s">
        <v>218</v>
      </c>
      <c r="L16" s="94"/>
      <c r="M16" s="87" t="s">
        <v>216</v>
      </c>
      <c r="N16" s="88"/>
      <c r="Q16" s="87" t="s">
        <v>421</v>
      </c>
      <c r="R16" s="88"/>
      <c r="S16" s="93" t="s">
        <v>218</v>
      </c>
      <c r="T16" s="94"/>
      <c r="U16" s="10"/>
      <c r="V16" s="5"/>
    </row>
    <row r="17" spans="1:30" ht="23.1" customHeight="1" thickBot="1" x14ac:dyDescent="0.3">
      <c r="I17" s="21"/>
      <c r="J17" s="19"/>
      <c r="K17" s="95"/>
      <c r="L17" s="96"/>
      <c r="M17" s="91"/>
      <c r="N17" s="92"/>
      <c r="Q17" s="91"/>
      <c r="R17" s="92"/>
      <c r="S17" s="95"/>
      <c r="T17" s="96"/>
      <c r="U17" s="18"/>
      <c r="V17" s="21"/>
    </row>
    <row r="18" spans="1:30" ht="23.1" customHeight="1" x14ac:dyDescent="0.25">
      <c r="I18" s="87" t="s">
        <v>214</v>
      </c>
      <c r="J18" s="88"/>
      <c r="K18" s="93" t="s">
        <v>208</v>
      </c>
      <c r="L18" s="94"/>
      <c r="M18" s="87" t="s">
        <v>211</v>
      </c>
      <c r="N18" s="88"/>
      <c r="Q18" s="87" t="s">
        <v>211</v>
      </c>
      <c r="R18" s="88"/>
      <c r="S18" s="87" t="s">
        <v>350</v>
      </c>
      <c r="T18" s="88"/>
      <c r="U18" s="87" t="s">
        <v>214</v>
      </c>
      <c r="V18" s="88"/>
    </row>
    <row r="19" spans="1:30" ht="23.1" customHeight="1" thickBot="1" x14ac:dyDescent="0.3">
      <c r="I19" s="89"/>
      <c r="J19" s="90"/>
      <c r="K19" s="97"/>
      <c r="L19" s="98"/>
      <c r="M19" s="91"/>
      <c r="N19" s="92"/>
      <c r="Q19" s="91"/>
      <c r="R19" s="92"/>
      <c r="S19" s="89"/>
      <c r="T19" s="90"/>
      <c r="U19" s="89"/>
      <c r="V19" s="90"/>
    </row>
    <row r="20" spans="1:30" ht="23.1" customHeight="1" x14ac:dyDescent="0.25">
      <c r="I20" s="89"/>
      <c r="J20" s="90"/>
      <c r="K20" s="97"/>
      <c r="L20" s="98"/>
      <c r="M20" s="93" t="s">
        <v>210</v>
      </c>
      <c r="N20" s="94"/>
      <c r="Q20" s="93" t="s">
        <v>209</v>
      </c>
      <c r="R20" s="94"/>
      <c r="S20" s="89"/>
      <c r="T20" s="90"/>
      <c r="U20" s="89"/>
      <c r="V20" s="90"/>
    </row>
    <row r="21" spans="1:30" ht="23.1" customHeight="1" thickBot="1" x14ac:dyDescent="0.3">
      <c r="I21" s="91"/>
      <c r="J21" s="92"/>
      <c r="K21" s="95"/>
      <c r="L21" s="96"/>
      <c r="M21" s="95"/>
      <c r="N21" s="96"/>
      <c r="Q21" s="95"/>
      <c r="R21" s="96"/>
      <c r="S21" s="91"/>
      <c r="T21" s="92"/>
      <c r="U21" s="91"/>
      <c r="V21" s="92"/>
    </row>
    <row r="22" spans="1:30" x14ac:dyDescent="0.25">
      <c r="O22"/>
      <c r="P22"/>
    </row>
    <row r="23" spans="1:30" hidden="1" x14ac:dyDescent="0.25">
      <c r="A23" s="79" t="str">
        <f>"" &amp; A5 &amp; "\n" &amp; A6 &amp; "\n" &amp; B5 &amp; "\n" &amp; B6</f>
        <v>#\n$\n¶\n–</v>
      </c>
      <c r="B23" s="79"/>
      <c r="C23" s="79" t="str">
        <f t="shared" ref="C23:AC23" si="0">"" &amp; C5 &amp; "\n" &amp; C6 &amp; "\n" &amp; D5 &amp; "\n" &amp; D6</f>
        <v>1\n\"\n„\n—</v>
      </c>
      <c r="D23" s="79"/>
      <c r="E23" s="79" t="str">
        <f t="shared" si="0"/>
        <v>2\n«\n“\n&lt;</v>
      </c>
      <c r="F23" s="79"/>
      <c r="G23" s="79" t="str">
        <f t="shared" si="0"/>
        <v>3\n»\n”\n&gt;</v>
      </c>
      <c r="H23" s="79"/>
      <c r="I23" s="79" t="str">
        <f t="shared" si="0"/>
        <v>4\n(\n≤\n[</v>
      </c>
      <c r="J23" s="79"/>
      <c r="K23" s="79" t="str">
        <f t="shared" si="0"/>
        <v>5\n)\n≥\n]</v>
      </c>
      <c r="L23" s="79"/>
      <c r="M23" s="79" t="str">
        <f t="shared" si="0"/>
        <v>°\n=\n′\n≠</v>
      </c>
      <c r="N23" s="79"/>
      <c r="O23"/>
      <c r="P23"/>
      <c r="Q23" s="79" t="str">
        <f t="shared" si="0"/>
        <v>Del\n\n\n</v>
      </c>
      <c r="R23" s="79"/>
      <c r="S23" s="79" t="str">
        <f t="shared" si="0"/>
        <v>6\n@\n\n^</v>
      </c>
      <c r="T23" s="79"/>
      <c r="U23" s="79" t="str">
        <f t="shared" si="0"/>
        <v>7\n+\n¬\n±</v>
      </c>
      <c r="V23" s="79"/>
      <c r="W23" s="79" t="str">
        <f t="shared" si="0"/>
        <v>8\n-\n¼\n−</v>
      </c>
      <c r="X23" s="79"/>
      <c r="Y23" s="79" t="str">
        <f t="shared" si="0"/>
        <v>9\n/\n½\n÷</v>
      </c>
      <c r="Z23" s="79"/>
      <c r="AA23" s="79" t="str">
        <f t="shared" si="0"/>
        <v>0\n*\n¾\n×</v>
      </c>
      <c r="AB23" s="79"/>
      <c r="AC23" s="79" t="str">
        <f t="shared" si="0"/>
        <v>`\n%\n″\n‰</v>
      </c>
      <c r="AD23" s="79"/>
    </row>
    <row r="24" spans="1:30" hidden="1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/>
      <c r="P24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</row>
    <row r="25" spans="1:30" hidden="1" x14ac:dyDescent="0.25">
      <c r="A25" s="79" t="str">
        <f>"" &amp; A7 &amp; "\n" &amp; A8 &amp; "\n" &amp; B7 &amp; "\n" &amp; B8</f>
        <v>Ê\nê\n\n/</v>
      </c>
      <c r="B25" s="79"/>
      <c r="C25" s="79" t="str">
        <f>"" &amp; C7 &amp; "\n" &amp; C8 &amp; "\n" &amp; D7 &amp; "\n" &amp; D8</f>
        <v>B\nb\n¦\n|</v>
      </c>
      <c r="D25" s="79"/>
      <c r="E25" s="86" t="str">
        <f>"" &amp; E7 &amp; "\n" &amp; E8 &amp; "\n" &amp; F7 &amp; "\n" &amp; F8</f>
        <v>É\né\n˝\n´</v>
      </c>
      <c r="F25" s="86"/>
      <c r="G25" s="86" t="str">
        <f>"" &amp; G7 &amp; "\n" &amp; G8 &amp; "\n" &amp; H7 &amp; "\n" &amp; H8</f>
        <v>P\np\n§\n&amp;</v>
      </c>
      <c r="H25" s="86"/>
      <c r="I25" s="79" t="str">
        <f>"" &amp; I7 &amp; "\n" &amp; I8 &amp; "\n" &amp; J7 &amp; "\n" &amp; J8</f>
        <v>O\no\nŒ\nœ</v>
      </c>
      <c r="J25" s="79"/>
      <c r="K25" s="79" t="str">
        <f>"" &amp; K7 &amp; "\n" &amp; K8 &amp; "\n" &amp; L7 &amp; "\n" &amp; L8</f>
        <v>È\nè\n`\n`</v>
      </c>
      <c r="L25" s="79"/>
      <c r="M25" s="79" t="str">
        <f>M7</f>
        <v>Tab</v>
      </c>
      <c r="N25" s="79"/>
      <c r="O25"/>
      <c r="P25"/>
      <c r="Q25" s="79" t="str">
        <f>Q7</f>
        <v>Backspace</v>
      </c>
      <c r="R25" s="79"/>
      <c r="S25" s="79" t="str">
        <f>"" &amp; S7 &amp; "\n" &amp; S8 &amp; "\n" &amp; T7 &amp; "\n" &amp; T8</f>
        <v>!\n^\n\n¡</v>
      </c>
      <c r="T25" s="79"/>
      <c r="U25" s="79" t="str">
        <f>"" &amp; U7 &amp; "\n" &amp; U8 &amp; "\n" &amp; V7 &amp; "\n" &amp; V8</f>
        <v>V\nv\n\nˇ</v>
      </c>
      <c r="V25" s="79"/>
      <c r="W25" s="79" t="str">
        <f>"" &amp; W7 &amp; "\n" &amp; W8 &amp; "\n" &amp; X7 &amp; "\n" &amp; X8</f>
        <v>D\nd\nÐ\nð</v>
      </c>
      <c r="X25" s="79"/>
      <c r="Y25" s="79" t="str">
        <f>"" &amp; Y7 &amp; "\n" &amp; Y8 &amp; "\n" &amp; Z7 &amp; "\n" &amp; Z8</f>
        <v>L\nl\n\n</v>
      </c>
      <c r="Z25" s="79"/>
      <c r="AA25" s="79" t="str">
        <f>"" &amp; AA7 &amp; "\n" &amp; AA8 &amp; "\n" &amp; AB7 &amp; "\n" &amp; AB8</f>
        <v>J\nj\nĲ\nĳ</v>
      </c>
      <c r="AB25" s="79"/>
      <c r="AC25" s="79" t="str">
        <f>"" &amp; AC7 &amp; "\n" &amp; AC8 &amp; "\n" &amp; AD7 &amp; "\n" &amp; AD8</f>
        <v>Z\nz\nƏ\nə</v>
      </c>
      <c r="AD25" s="79"/>
    </row>
    <row r="26" spans="1:30" hidden="1" x14ac:dyDescent="0.25">
      <c r="A26" s="79"/>
      <c r="B26" s="79"/>
      <c r="C26" s="79"/>
      <c r="D26" s="79"/>
      <c r="E26" s="86"/>
      <c r="F26" s="86"/>
      <c r="G26" s="86"/>
      <c r="H26" s="86"/>
      <c r="I26" s="79"/>
      <c r="J26" s="79"/>
      <c r="K26" s="79"/>
      <c r="L26" s="79"/>
      <c r="M26" s="79"/>
      <c r="N26" s="79"/>
      <c r="O26"/>
      <c r="P26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</row>
    <row r="27" spans="1:30" hidden="1" x14ac:dyDescent="0.25">
      <c r="A27" s="79" t="str">
        <f>"" &amp; A9 &amp; "\n" &amp; A10 &amp; "\n" &amp; B9 &amp; "\n" &amp; B10</f>
        <v>W\nw\n\n˘</v>
      </c>
      <c r="B27" s="79"/>
      <c r="C27" s="79" t="str">
        <f>"" &amp; C9 &amp; "\n" &amp; C10 &amp; "\n" &amp; D9 &amp; "\n" &amp; D10</f>
        <v>A\na\nÆ\næ</v>
      </c>
      <c r="D27" s="79"/>
      <c r="E27" s="79" t="str">
        <f>"" &amp; E9 &amp; "\n" &amp; E10 &amp; "\n" &amp; F9 &amp; "\n" &amp; F10</f>
        <v>U\nu\nÙ\nù</v>
      </c>
      <c r="F27" s="79"/>
      <c r="G27" s="79" t="str">
        <f>"" &amp; G9 &amp; "\n" &amp; G10 &amp; "\n" &amp; H9 &amp; "\n" &amp; H10</f>
        <v>I\ni\n˙\n¨</v>
      </c>
      <c r="H27" s="79"/>
      <c r="I27" s="79" t="str">
        <f>"" &amp; I9 &amp; "\n" &amp; I10 &amp; "\n" &amp; J9 &amp; "\n" &amp; J10</f>
        <v>E\ne\n¤\n€</v>
      </c>
      <c r="J27" s="79"/>
      <c r="K27" s="79" t="str">
        <f>"" &amp; K9 &amp; "\n" &amp; K10 &amp; "\n" &amp; L9 &amp; "\n" &amp; L10</f>
        <v>;\n,\n\n’</v>
      </c>
      <c r="L27" s="79"/>
      <c r="M27" s="79" t="str">
        <f>M10</f>
        <v>Enter</v>
      </c>
      <c r="N27" s="79"/>
      <c r="O27"/>
      <c r="P27"/>
      <c r="Q27" s="79" t="str">
        <f>Q10</f>
        <v>Enter</v>
      </c>
      <c r="R27" s="79"/>
      <c r="S27" s="79" t="str">
        <f>"" &amp; S9 &amp; "\n" &amp; S10 &amp; "\n" &amp; T9 &amp; "\n" &amp; T10</f>
        <v>C\nc\nſ\n©</v>
      </c>
      <c r="T27" s="79"/>
      <c r="U27" s="79" t="str">
        <f>"" &amp; U9 &amp; "\n" &amp; U10 &amp; "\n" &amp; V9 &amp; "\n" &amp; V10</f>
        <v>T\nt\nÞ\nþ</v>
      </c>
      <c r="V27" s="79"/>
      <c r="W27" s="79" t="str">
        <f>"" &amp; W9 &amp; "\n" &amp; W10 &amp; "\n" &amp; X9 &amp; "\n" &amp; X10</f>
        <v>S\ns\nẞ\nß</v>
      </c>
      <c r="X27" s="79"/>
      <c r="Y27" s="79" t="str">
        <f>"" &amp; Y9 &amp; "\n" &amp; Y10 &amp; "\n" &amp; Z9 &amp; "\n" &amp; Z10</f>
        <v>R\nr\n™\n®</v>
      </c>
      <c r="Z27" s="79"/>
      <c r="AA27" s="79" t="str">
        <f>"" &amp; AA9 &amp; "\n" &amp; AA10 &amp; "\n" &amp; AB9 &amp; "\n" &amp; AB10</f>
        <v>N\nn\n\n~</v>
      </c>
      <c r="AB27" s="79"/>
      <c r="AC27" s="79" t="str">
        <f>"" &amp; AC9 &amp; "\n" &amp; AC10 &amp; "\n" &amp; AD9 &amp; "\n" &amp; AD10</f>
        <v>M\nm\nº\n¯</v>
      </c>
      <c r="AD27" s="79"/>
    </row>
    <row r="28" spans="1:30" hidden="1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/>
      <c r="P28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</row>
    <row r="29" spans="1:30" hidden="1" x14ac:dyDescent="0.25">
      <c r="A29" s="79" t="str">
        <f>"" &amp; A11 &amp; "\n" &amp; A12 &amp; "\n" &amp; B11 &amp; "\n" &amp; B12</f>
        <v>ShiftG\n\n\n</v>
      </c>
      <c r="B29" s="79"/>
      <c r="C29" s="79" t="str">
        <f>"" &amp; C11 &amp; "\n" &amp; C12 &amp; "\n" &amp; D11 &amp; "\n" &amp; D12</f>
        <v>À\nà\n\n\\</v>
      </c>
      <c r="D29" s="79"/>
      <c r="E29" s="79" t="str">
        <f>"" &amp; E11 &amp; "\n" &amp; E12 &amp; "\n" &amp; F11 &amp; "\n" &amp; F12</f>
        <v>Y\ny\n‘\n{</v>
      </c>
      <c r="F29" s="79"/>
      <c r="G29" s="79" t="str">
        <f>"" &amp; G11 &amp; "\n" &amp; G12 &amp; "\n" &amp; H11 &amp; "\n" &amp; H12</f>
        <v>X\nx\n’\n}</v>
      </c>
      <c r="H29" s="79"/>
      <c r="I29" s="79" t="str">
        <f>"" &amp; I11 &amp; "\n" &amp; I12 &amp; "\n" &amp; J11 &amp; "\n" &amp; J12</f>
        <v>:\n.\n·\n…</v>
      </c>
      <c r="J29" s="79"/>
      <c r="K29" s="79" t="str">
        <f>"" &amp; K11 &amp; "\n" &amp; K12 &amp; "\n" &amp; L11 &amp; "\n" &amp; L12</f>
        <v>K\nk\n⌨\n~</v>
      </c>
      <c r="L29" s="79"/>
      <c r="M29" s="79"/>
      <c r="N29" s="79"/>
      <c r="O29"/>
      <c r="P29"/>
      <c r="Q29" s="79"/>
      <c r="R29" s="79"/>
      <c r="S29" s="79" t="str">
        <f>"" &amp; S11 &amp; "\n" &amp; S12 &amp; "\n" &amp; T11 &amp; "\n" &amp; T12</f>
        <v>?\n'\n̉̉̉\n¿</v>
      </c>
      <c r="T29" s="79"/>
      <c r="U29" s="79" t="str">
        <f>"" &amp; U11 &amp; "\n" &amp; U12 &amp; "\n" &amp; V11 &amp; "\n" &amp; V12</f>
        <v>Q\nq\ṇ̣̣̣\n°</v>
      </c>
      <c r="V29" s="79"/>
      <c r="W29" s="79" t="str">
        <f>"" &amp; W11 &amp; "\n" &amp; W12 &amp; "\n" &amp; X11 &amp; "\n" &amp; X12</f>
        <v>G\ng\n\nµ</v>
      </c>
      <c r="X29" s="79"/>
      <c r="Y29" s="79" t="str">
        <f>"" &amp; Y11 &amp; "\n" &amp; Y12 &amp; "\n" &amp; Z11 &amp; "\n" &amp; Z12</f>
        <v>H\nh\n‡\n†</v>
      </c>
      <c r="Z29" s="79"/>
      <c r="AA29" s="79" t="str">
        <f>"" &amp; AA11 &amp; "\n" &amp; AA12 &amp; "\n" &amp; AB11 &amp; "\n" &amp; AB12</f>
        <v>F\nf\nª\n˛</v>
      </c>
      <c r="AB29" s="79"/>
      <c r="AC29" s="79" t="str">
        <f>"" &amp; AC11 &amp; "\n" &amp; AC12 &amp; "\n" &amp; AD11 &amp; "\n" &amp; AD12</f>
        <v>Ç\nç\n,\n¸</v>
      </c>
      <c r="AD29" s="79"/>
    </row>
    <row r="30" spans="1:30" hidden="1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/>
      <c r="P30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</row>
    <row r="31" spans="1:30" hidden="1" x14ac:dyDescent="0.25">
      <c r="A31" s="79" t="str">
        <f>"" &amp; A13 &amp; "\n" &amp; A14 &amp; "\n" &amp; B13 &amp; "\n" &amp; B14</f>
        <v>CtrlG\n\n\n</v>
      </c>
      <c r="B31" s="79"/>
      <c r="C31" s="79" t="str">
        <f>"" &amp; C13 &amp; "\n" &amp; C14 &amp; "\n" &amp; D13 &amp; "\n" &amp; D14</f>
        <v>Alt\n\n\n</v>
      </c>
      <c r="D31" s="79"/>
      <c r="E31" s="79" t="str">
        <f>"" &amp; E13 &amp; "\n" &amp; E14 &amp; "\n" &amp; F13 &amp; "\n" &amp; F14</f>
        <v>GUIL\n\n\n</v>
      </c>
      <c r="F31" s="79"/>
      <c r="G31" s="79" t="str">
        <f>"" &amp; G13 &amp; "\n" &amp; G14 &amp; "\n" &amp; H13 &amp; "\n" &amp; H14</f>
        <v>Alt Gr\n\n\n</v>
      </c>
      <c r="H31" s="79"/>
      <c r="I31" s="79" t="str">
        <f>"" &amp; I13 &amp; "\n" &amp; I14 &amp; "\n" &amp; J13 &amp; "\n" &amp; J14</f>
        <v>ShiftG\n\n\n</v>
      </c>
      <c r="J31" s="79"/>
      <c r="K31" s="79"/>
      <c r="L31" s="79"/>
      <c r="M31" s="79"/>
      <c r="N31" s="79"/>
      <c r="O31"/>
      <c r="P31"/>
      <c r="Q31" s="79"/>
      <c r="R31" s="79"/>
      <c r="S31" s="79"/>
      <c r="T31" s="79"/>
      <c r="U31" s="79" t="str">
        <f>"" &amp; U13 &amp; "\n" &amp; U14 &amp; "\n" &amp; V13 &amp; "\n" &amp; V14</f>
        <v>Fn2\n\n\n</v>
      </c>
      <c r="V31" s="79"/>
      <c r="W31" s="79" t="str">
        <f>"" &amp; W13 &amp; "\n" &amp; W14 &amp; "\n" &amp; X13 &amp; "\n" &amp; X14</f>
        <v>Alt Gr\n\n\n</v>
      </c>
      <c r="X31" s="79"/>
      <c r="Y31" s="79" t="str">
        <f>"" &amp; Y13 &amp; "\n" &amp; Y14 &amp; "\n" &amp; Z13 &amp; "\n" &amp; Z14</f>
        <v>GUID\n\n\n</v>
      </c>
      <c r="Z31" s="79"/>
      <c r="AA31" s="79" t="str">
        <f>"" &amp; AA13 &amp; "\n" &amp; AA14 &amp; "\n" &amp; AB13 &amp; "\n" &amp; AB14</f>
        <v>Alt\n\n\n</v>
      </c>
      <c r="AB31" s="79"/>
      <c r="AC31" s="79" t="str">
        <f>"" &amp; AC13 &amp; "\n" &amp; AC14 &amp; "\n" &amp; AD13 &amp; "\n" &amp; AD14</f>
        <v>CtrlD\n\n\n</v>
      </c>
      <c r="AD31" s="79"/>
    </row>
    <row r="32" spans="1:30" hidden="1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</row>
    <row r="33" spans="1:36" hidden="1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</row>
    <row r="34" spans="1:36" ht="15.75" thickBot="1" x14ac:dyDescent="0.3"/>
    <row r="35" spans="1:36" ht="15.75" thickBot="1" x14ac:dyDescent="0.3">
      <c r="A35" s="80" t="s">
        <v>594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2"/>
      <c r="P35" s="83" t="s">
        <v>595</v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5"/>
    </row>
    <row r="36" spans="1:36" x14ac:dyDescent="0.25">
      <c r="A36" s="25" t="str">
        <f>"[{x:3.5},"""&amp;G23&amp;""",{x:10.5},"""&amp;W23&amp;"""],"</f>
        <v>[{x:3.5},"3\n»\n”\n&gt;",{x:10.5},"8\n-\n¼\n−"],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76" t="s">
        <v>566</v>
      </c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8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[{y:-0.875,x:2.5},"2\n«\n“\n&lt;",{x:1},"4\n(\n≤\n[",{x:8.5},"7\n+\n¬\n±",{x:1},"9\n/\n½\n÷"],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70" t="s">
        <v>45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2"/>
    </row>
    <row r="38" spans="1:36" x14ac:dyDescent="0.25">
      <c r="A38" s="25" t="str">
        <f>"[{y:-0.875,x:5.5},""" &amp; K23 &amp; """,""" &amp; M23 &amp;""",{x:4.5},"""&amp; Q23 &amp; """,""" &amp; S23 &amp; """],"</f>
        <v>[{y:-0.875,x:5.5},"5\n)\n≥\n]","°\n=\n′\n≠",{x:4.5},"Del\n\n\n","6\n@\n\n^"],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70" t="s">
        <v>567</v>
      </c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2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[{y:-0.875,w:1.5},"#\n$\n¶\n–","1\n\"\n„\n—",{x:14.5},"0\n*\n¾\n×",{w:1.5},"`\n%\n″\n‰"],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70" t="s">
        <v>728</v>
      </c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2"/>
    </row>
    <row r="40" spans="1:36" x14ac:dyDescent="0.25">
      <c r="A40" s="25" t="str">
        <f>"[{y:-0.375,x:3.5},""" &amp; G25 &amp; """,{x:10.5},""" &amp; W25&amp;"""],"</f>
        <v>[{y:-0.375,x:3.5},"P\np\n§\n&amp;",{x:10.5},"D\nd\nÐ\nð"],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70" t="s">
        <v>598</v>
      </c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2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[{y:-0.875,x:2.5},"É\né\n˝\n´",{x:1},"O\no\nŒ\nœ",{x:8.5},"V\nv\n\nˇ",{x:1},"L\nl\n\n"],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70" t="s">
        <v>605</v>
      </c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2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[{y:-0.875,x:5.5},"È\nè\n`\n`" ,{h:1.5},"Tab",{x:4.5,h:1.5},"Backspace","!\n^\n\n¡"],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70" t="s">
        <v>568</v>
      </c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2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[{y:-0.875,w:1.5},"Ê\nê\n\n/","B\nb\n¦\n|",{x:14.5},"J\nj\nĲ\nĳ",{w:1.5},"Z\nz\nƏ\nə"],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70" t="s">
        <v>606</v>
      </c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2"/>
    </row>
    <row r="44" spans="1:36" x14ac:dyDescent="0.25">
      <c r="A44" s="25" t="str">
        <f>"[{y:-0.375,x:3.5},""" &amp; G27&amp; """,{x:10.5},""" &amp; W27&amp; """],"</f>
        <v>[{y:-0.375,x:3.5},"I\ni\n˙\n¨",{x:10.5},"S\ns\nẞ\nß"],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70" t="s">
        <v>568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2"/>
    </row>
    <row r="45" spans="1:36" x14ac:dyDescent="0.25">
      <c r="A45" s="25" t="str">
        <f>"[{y:-0.875,x:2.5},""" &amp;E27&amp; """,{x:1},""" &amp;I27&amp; """,{x:8.5},""" &amp;U27&amp; """,{x:1},""" &amp;Y27&amp; """],"</f>
        <v>[{y:-0.875,x:2.5},"U\nu\nÙ\nù",{x:1},"E\ne\n¤\n€",{x:8.5},"T\nt\nÞ\nþ",{x:1},"R\nr\n™\n®"],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70" t="s">
        <v>607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2"/>
    </row>
    <row r="46" spans="1:36" x14ac:dyDescent="0.25">
      <c r="A46" s="25" t="str">
        <f>"[{y:-0.875,x:5.5},""" &amp; K27 &amp;""",{x:6.5},""" &amp; S27 &amp; """],"</f>
        <v>[{y:-0.875,x:5.5},";\n,\n\n’",{x:6.5},"C\nc\nſ\n©"],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70" t="s">
        <v>569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2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[{y:-0.875,w:1.5},"W\nw\n\n˘","A\na\nÆ\næ",{x:14.5},"N\nn\n\n~",{w:1.5},"M\nm\nº\n¯"],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70" t="s">
        <v>650</v>
      </c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2"/>
    </row>
    <row r="48" spans="1:36" x14ac:dyDescent="0.25">
      <c r="A48" s="25" t="str">
        <f>"[{y:-0.625,x:6.5,h:1.5},""" &amp; M27 &amp; """,{x:4.5,h:1.5},""" &amp; Q27 &amp; """],"</f>
        <v>[{y:-0.625,x:6.5,h:1.5},"Enter",{x:4.5,h:1.5},"Enter"],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70" t="s">
        <v>570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2"/>
    </row>
    <row r="49" spans="1:36" x14ac:dyDescent="0.25">
      <c r="A49" s="25" t="str">
        <f>"[{y:-0.75,x:3.5},""" &amp; G29 &amp; """,{x:10.5},""" &amp; W29 &amp; """],"</f>
        <v>[{y:-0.75,x:3.5},"X\nx\n’\n}",{x:10.5},"G\ng\n\nµ"],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70" t="s">
        <v>571</v>
      </c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2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[{y:-0.875,x:2.5},"Y\ny\n‘\n{",{x:1},":\n.\n·\n…",{x:8.5},"Q\nq\ṇ̣̣̣\n°",{x:1},"H\nh\n‡\n†"],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70" t="s">
        <v>647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2"/>
    </row>
    <row r="51" spans="1:36" x14ac:dyDescent="0.25">
      <c r="A51" s="25" t="str">
        <f>"[{y:-0.875,x:5.5},""" &amp; K29&amp; """,{x:6.5},""" &amp;S29 &amp; """],"</f>
        <v>[{y:-0.875,x:5.5},"K\nk\n⌨\n~",{x:6.5},"?\n'\n̉̉̉\n¿"],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70" t="s">
        <v>600</v>
      </c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2"/>
    </row>
    <row r="52" spans="1:36" x14ac:dyDescent="0.25">
      <c r="A52" s="25" t="str">
        <f>"[{y:-0.875,w:1.5},""" &amp;A29&amp; """,""" &amp;C29&amp; """,{x:14.5},""" &amp;AA29&amp; """,{w:1.5},""" &amp;AC29&amp; """],"</f>
        <v>[{y:-0.875,w:1.5},"ShiftG\n\n\n","À\nà\n\n\\",{x:14.5},"F\nf\nª\n˛",{w:1.5},"Ç\nç\n,\n¸"],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70" t="s">
        <v>604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2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70" t="s">
        <v>602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2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[{y:-0.875,x:2.5},"GUIL\n\n\n",{x:1},"ShiftG\n\n\n",{x:8.5},"Fn2\n\n\n",{x:1},"GUID\n\n\n"],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70" t="s">
        <v>735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2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70" t="s">
        <v>603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2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70" t="s">
        <v>572</v>
      </c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2"/>
    </row>
    <row r="57" spans="1:36" x14ac:dyDescent="0.25">
      <c r="A57" s="25" t="str">
        <f>"[{h:2},""" &amp;I18&amp; """,{h:2},""" &amp;K18&amp; """,""" &amp;M18&amp; """],"</f>
        <v>[{h:2},"Space",{h:2},"Enter","Alt"],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70" t="s">
        <v>593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2"/>
    </row>
    <row r="58" spans="1:36" x14ac:dyDescent="0.25">
      <c r="A58" s="25" t="str">
        <f>"[{x:2},""" &amp;M20&amp;"""],"</f>
        <v>[{x:2},"Del"],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70" t="s">
        <v>573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2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70" t="s">
        <v>727</v>
      </c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2"/>
    </row>
    <row r="60" spans="1:36" x14ac:dyDescent="0.25">
      <c r="A60" s="25" t="str">
        <f>"[{x:-3},""" &amp;Q18&amp; """,{h:2},""" &amp;S18&amp; """,{h:2},""" &amp;U18&amp; """],"</f>
        <v>[{x:-3},"Alt",{h:2},"ShiftD",{h:2},"Space"],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70" t="s">
        <v>583</v>
      </c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2"/>
    </row>
    <row r="61" spans="1:36" ht="15.75" thickBot="1" x14ac:dyDescent="0.3">
      <c r="A61" s="28" t="str">
        <f>"[{x:-3},"""&amp;Q20&amp;"""]"</f>
        <v>[{x:-3},"Backspace"]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70" t="s">
        <v>585</v>
      </c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2"/>
    </row>
    <row r="62" spans="1:36" x14ac:dyDescent="0.25">
      <c r="P62" s="70" t="s">
        <v>587</v>
      </c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2"/>
    </row>
    <row r="63" spans="1:36" x14ac:dyDescent="0.25">
      <c r="P63" s="70" t="s">
        <v>729</v>
      </c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2"/>
    </row>
    <row r="64" spans="1:36" x14ac:dyDescent="0.25">
      <c r="P64" s="70" t="s">
        <v>640</v>
      </c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2"/>
    </row>
    <row r="65" spans="16:36" x14ac:dyDescent="0.25">
      <c r="P65" s="70" t="s">
        <v>591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2"/>
    </row>
    <row r="66" spans="16:36" x14ac:dyDescent="0.25">
      <c r="P66" s="70" t="s">
        <v>734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2"/>
    </row>
    <row r="67" spans="16:36" x14ac:dyDescent="0.25">
      <c r="P67" s="70" t="s">
        <v>574</v>
      </c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2"/>
    </row>
    <row r="68" spans="16:36" x14ac:dyDescent="0.25">
      <c r="P68" s="70" t="s">
        <v>582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2"/>
    </row>
    <row r="69" spans="16:36" x14ac:dyDescent="0.25">
      <c r="P69" s="70" t="s">
        <v>584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2"/>
    </row>
    <row r="70" spans="16:36" x14ac:dyDescent="0.25">
      <c r="P70" s="70" t="s">
        <v>586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2"/>
    </row>
    <row r="71" spans="16:36" x14ac:dyDescent="0.25">
      <c r="P71" s="70" t="s">
        <v>588</v>
      </c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2"/>
    </row>
    <row r="72" spans="16:36" x14ac:dyDescent="0.25">
      <c r="P72" s="70" t="s">
        <v>730</v>
      </c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2"/>
    </row>
    <row r="73" spans="16:36" x14ac:dyDescent="0.25">
      <c r="P73" s="70" t="s">
        <v>590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2"/>
    </row>
    <row r="74" spans="16:36" x14ac:dyDescent="0.25">
      <c r="P74" s="70" t="s">
        <v>592</v>
      </c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2"/>
    </row>
    <row r="75" spans="16:36" x14ac:dyDescent="0.25">
      <c r="P75" s="70" t="s">
        <v>733</v>
      </c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2"/>
    </row>
    <row r="76" spans="16:36" ht="15.75" thickBot="1" x14ac:dyDescent="0.3">
      <c r="P76" s="73" t="s">
        <v>581</v>
      </c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5"/>
    </row>
  </sheetData>
  <mergeCells count="144">
    <mergeCell ref="U13:V14"/>
    <mergeCell ref="W13:X14"/>
    <mergeCell ref="Y13:Z14"/>
    <mergeCell ref="S16:T17"/>
    <mergeCell ref="M16:N17"/>
    <mergeCell ref="A1:AD3"/>
    <mergeCell ref="Q5:R6"/>
    <mergeCell ref="A13:B14"/>
    <mergeCell ref="C13:D14"/>
    <mergeCell ref="E13:F14"/>
    <mergeCell ref="G13:H14"/>
    <mergeCell ref="I13:J14"/>
    <mergeCell ref="M7:N9"/>
    <mergeCell ref="M10:N12"/>
    <mergeCell ref="Q7:R9"/>
    <mergeCell ref="Q10:R12"/>
    <mergeCell ref="O11:P12"/>
    <mergeCell ref="A11:B12"/>
    <mergeCell ref="AC13:AD14"/>
    <mergeCell ref="A4:AD4"/>
    <mergeCell ref="I18:J21"/>
    <mergeCell ref="M18:N19"/>
    <mergeCell ref="AA13:AB14"/>
    <mergeCell ref="U18:V21"/>
    <mergeCell ref="Q20:R21"/>
    <mergeCell ref="A23:B24"/>
    <mergeCell ref="C23:D24"/>
    <mergeCell ref="E23:F24"/>
    <mergeCell ref="G23:H24"/>
    <mergeCell ref="I23:J24"/>
    <mergeCell ref="K23:L24"/>
    <mergeCell ref="M23:N24"/>
    <mergeCell ref="U23:V24"/>
    <mergeCell ref="Q23:R24"/>
    <mergeCell ref="S23:T24"/>
    <mergeCell ref="W23:X24"/>
    <mergeCell ref="Y23:Z24"/>
    <mergeCell ref="AA23:AB24"/>
    <mergeCell ref="K18:L21"/>
    <mergeCell ref="S18:T21"/>
    <mergeCell ref="K16:L17"/>
    <mergeCell ref="M20:N21"/>
    <mergeCell ref="Q16:R17"/>
    <mergeCell ref="Q18:R19"/>
    <mergeCell ref="I25:J26"/>
    <mergeCell ref="K25:L26"/>
    <mergeCell ref="M25:N26"/>
    <mergeCell ref="A27:B28"/>
    <mergeCell ref="A29:B30"/>
    <mergeCell ref="C29:D30"/>
    <mergeCell ref="C27:D28"/>
    <mergeCell ref="E27:F28"/>
    <mergeCell ref="A25:B26"/>
    <mergeCell ref="C25:D26"/>
    <mergeCell ref="E25:F26"/>
    <mergeCell ref="G25:H26"/>
    <mergeCell ref="E29:F30"/>
    <mergeCell ref="G29:H30"/>
    <mergeCell ref="G27:H28"/>
    <mergeCell ref="I27:J28"/>
    <mergeCell ref="K27:L28"/>
    <mergeCell ref="M27:N28"/>
    <mergeCell ref="M29:N30"/>
    <mergeCell ref="K29:L30"/>
    <mergeCell ref="I29:J30"/>
    <mergeCell ref="S27:T28"/>
    <mergeCell ref="Q27:R28"/>
    <mergeCell ref="Q29:R30"/>
    <mergeCell ref="S29:T30"/>
    <mergeCell ref="Q25:R26"/>
    <mergeCell ref="S25:T26"/>
    <mergeCell ref="U25:V26"/>
    <mergeCell ref="W25:X26"/>
    <mergeCell ref="Y25:Z26"/>
    <mergeCell ref="U27:V28"/>
    <mergeCell ref="AC23:AD24"/>
    <mergeCell ref="AA25:AB26"/>
    <mergeCell ref="AC25:AD26"/>
    <mergeCell ref="AC27:AD28"/>
    <mergeCell ref="AA27:AB28"/>
    <mergeCell ref="Y27:Z28"/>
    <mergeCell ref="W27:X28"/>
    <mergeCell ref="Y29:Z30"/>
    <mergeCell ref="AA29:AB30"/>
    <mergeCell ref="AC29:AD30"/>
    <mergeCell ref="AC31:AD32"/>
    <mergeCell ref="AA31:AB32"/>
    <mergeCell ref="Y31:Z32"/>
    <mergeCell ref="U31:V32"/>
    <mergeCell ref="S31:T32"/>
    <mergeCell ref="Q31:R32"/>
    <mergeCell ref="A35:N35"/>
    <mergeCell ref="W29:X30"/>
    <mergeCell ref="W31:X32"/>
    <mergeCell ref="G31:H32"/>
    <mergeCell ref="I31:J32"/>
    <mergeCell ref="K31:L32"/>
    <mergeCell ref="M31:N32"/>
    <mergeCell ref="A31:B32"/>
    <mergeCell ref="C31:D32"/>
    <mergeCell ref="U29:V30"/>
    <mergeCell ref="E31:F32"/>
    <mergeCell ref="P35:AJ35"/>
    <mergeCell ref="P54:AJ54"/>
    <mergeCell ref="P53:AJ53"/>
    <mergeCell ref="P37:AJ37"/>
    <mergeCell ref="P38:AJ38"/>
    <mergeCell ref="P36:AJ36"/>
    <mergeCell ref="P39:AJ39"/>
    <mergeCell ref="P40:AJ40"/>
    <mergeCell ref="P41:AJ41"/>
    <mergeCell ref="P42:AJ42"/>
    <mergeCell ref="P43:AJ43"/>
    <mergeCell ref="P52:AJ52"/>
    <mergeCell ref="P51:AJ51"/>
    <mergeCell ref="P50:AJ50"/>
    <mergeCell ref="P49:AJ49"/>
    <mergeCell ref="P48:AJ48"/>
    <mergeCell ref="P47:AJ47"/>
    <mergeCell ref="P46:AJ46"/>
    <mergeCell ref="P45:AJ45"/>
    <mergeCell ref="P44:AJ44"/>
    <mergeCell ref="P75:AJ75"/>
    <mergeCell ref="P76:AJ76"/>
    <mergeCell ref="P72:AJ72"/>
    <mergeCell ref="P73:AJ73"/>
    <mergeCell ref="P74:AJ74"/>
    <mergeCell ref="P58:AJ58"/>
    <mergeCell ref="P57:AJ57"/>
    <mergeCell ref="P56:AJ56"/>
    <mergeCell ref="P55:AJ55"/>
    <mergeCell ref="P59:AJ59"/>
    <mergeCell ref="P60:AJ60"/>
    <mergeCell ref="P61:AJ61"/>
    <mergeCell ref="P62:AJ62"/>
    <mergeCell ref="P63:AJ63"/>
    <mergeCell ref="P64:AJ64"/>
    <mergeCell ref="P65:AJ65"/>
    <mergeCell ref="P66:AJ66"/>
    <mergeCell ref="P67:AJ67"/>
    <mergeCell ref="P68:AJ68"/>
    <mergeCell ref="P69:AJ69"/>
    <mergeCell ref="P70:AJ70"/>
    <mergeCell ref="P71:AJ71"/>
  </mergeCells>
  <hyperlinks>
    <hyperlink ref="A35" r:id="rId1" display="http://www.keyboard-layout-editor.com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pageSetUpPr fitToPage="1"/>
  </sheetPr>
  <dimension ref="A1:AJ76"/>
  <sheetViews>
    <sheetView topLeftCell="A3" zoomScale="85" zoomScaleNormal="85" workbookViewId="0">
      <selection activeCell="AG21" sqref="AG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89" t="s">
        <v>613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0"/>
    </row>
    <row r="2" spans="1:30" ht="23.1" hidden="1" customHeight="1" thickBot="1" x14ac:dyDescent="0.3">
      <c r="A2" s="8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0"/>
    </row>
    <row r="3" spans="1:30" ht="23.1" customHeight="1" x14ac:dyDescent="0.25">
      <c r="A3" s="8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0"/>
    </row>
    <row r="4" spans="1:30" ht="23.1" customHeight="1" thickBot="1" x14ac:dyDescent="0.3">
      <c r="A4" s="89" t="s">
        <v>614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0"/>
    </row>
    <row r="5" spans="1:30" ht="23.1" customHeight="1" x14ac:dyDescent="0.25">
      <c r="A5" s="100"/>
      <c r="B5" s="101"/>
      <c r="C5" s="100"/>
      <c r="D5" s="101"/>
      <c r="E5" s="100"/>
      <c r="F5" s="101"/>
      <c r="G5" s="100"/>
      <c r="H5" s="101"/>
      <c r="I5" s="100"/>
      <c r="J5" s="101"/>
      <c r="K5" s="100"/>
      <c r="L5" s="101"/>
      <c r="M5" s="100"/>
      <c r="N5" s="101"/>
      <c r="O5" s="47"/>
      <c r="P5" s="49"/>
      <c r="Q5" s="87" t="s">
        <v>210</v>
      </c>
      <c r="R5" s="88"/>
      <c r="S5" s="100"/>
      <c r="T5" s="101"/>
      <c r="U5" s="31">
        <v>7</v>
      </c>
      <c r="V5" s="33" t="s">
        <v>63</v>
      </c>
      <c r="W5" s="31">
        <v>8</v>
      </c>
      <c r="X5" s="33" t="s">
        <v>64</v>
      </c>
      <c r="Y5" s="31">
        <v>9</v>
      </c>
      <c r="Z5" s="33" t="s">
        <v>65</v>
      </c>
      <c r="AA5" s="31">
        <v>0</v>
      </c>
      <c r="AB5" s="33" t="s">
        <v>66</v>
      </c>
      <c r="AC5" s="31" t="s">
        <v>30</v>
      </c>
      <c r="AD5" s="33" t="s">
        <v>68</v>
      </c>
    </row>
    <row r="6" spans="1:30" ht="23.1" customHeight="1" thickBot="1" x14ac:dyDescent="0.3">
      <c r="A6" s="102"/>
      <c r="B6" s="103"/>
      <c r="C6" s="102"/>
      <c r="D6" s="103"/>
      <c r="E6" s="102"/>
      <c r="F6" s="103"/>
      <c r="G6" s="102"/>
      <c r="H6" s="103"/>
      <c r="I6" s="102"/>
      <c r="J6" s="103"/>
      <c r="K6" s="102"/>
      <c r="L6" s="103"/>
      <c r="M6" s="102"/>
      <c r="N6" s="103"/>
      <c r="O6" s="47"/>
      <c r="P6" s="49"/>
      <c r="Q6" s="91"/>
      <c r="R6" s="92"/>
      <c r="S6" s="102"/>
      <c r="T6" s="103"/>
      <c r="U6" s="6" t="s">
        <v>41</v>
      </c>
      <c r="V6" s="35" t="s">
        <v>51</v>
      </c>
      <c r="W6" s="6" t="s">
        <v>23</v>
      </c>
      <c r="X6" s="35" t="s">
        <v>52</v>
      </c>
      <c r="Y6" s="6" t="s">
        <v>47</v>
      </c>
      <c r="Z6" s="35" t="s">
        <v>53</v>
      </c>
      <c r="AA6" s="6" t="s">
        <v>45</v>
      </c>
      <c r="AB6" s="35" t="s">
        <v>54</v>
      </c>
      <c r="AC6" s="6" t="s">
        <v>46</v>
      </c>
      <c r="AD6" s="35" t="s">
        <v>56</v>
      </c>
    </row>
    <row r="7" spans="1:30" ht="23.1" customHeight="1" x14ac:dyDescent="0.25">
      <c r="A7" s="100"/>
      <c r="B7" s="101"/>
      <c r="C7" s="100"/>
      <c r="D7" s="101"/>
      <c r="E7" s="100">
        <v>9</v>
      </c>
      <c r="F7" s="101"/>
      <c r="G7" s="100">
        <v>8</v>
      </c>
      <c r="H7" s="101"/>
      <c r="I7" s="100">
        <v>7</v>
      </c>
      <c r="J7" s="101"/>
      <c r="K7" s="100"/>
      <c r="L7" s="101"/>
      <c r="M7" s="87" t="s">
        <v>41</v>
      </c>
      <c r="N7" s="88"/>
      <c r="O7" s="47"/>
      <c r="P7" s="49"/>
      <c r="Q7" s="87" t="s">
        <v>47</v>
      </c>
      <c r="R7" s="88"/>
      <c r="S7" s="100"/>
      <c r="T7" s="101"/>
      <c r="U7" s="100">
        <v>7</v>
      </c>
      <c r="V7" s="101"/>
      <c r="W7" s="100">
        <v>8</v>
      </c>
      <c r="X7" s="101"/>
      <c r="Y7" s="100">
        <v>9</v>
      </c>
      <c r="Z7" s="101"/>
      <c r="AA7" s="100"/>
      <c r="AB7" s="101"/>
      <c r="AC7" s="100"/>
      <c r="AD7" s="101"/>
    </row>
    <row r="8" spans="1:30" ht="23.1" customHeight="1" thickBot="1" x14ac:dyDescent="0.3">
      <c r="A8" s="102"/>
      <c r="B8" s="103"/>
      <c r="C8" s="102"/>
      <c r="D8" s="103"/>
      <c r="E8" s="102"/>
      <c r="F8" s="103"/>
      <c r="G8" s="102"/>
      <c r="H8" s="103"/>
      <c r="I8" s="102"/>
      <c r="J8" s="103"/>
      <c r="K8" s="102"/>
      <c r="L8" s="103"/>
      <c r="M8" s="89"/>
      <c r="N8" s="90"/>
      <c r="O8" s="47"/>
      <c r="P8" s="49"/>
      <c r="Q8" s="89"/>
      <c r="R8" s="90"/>
      <c r="S8" s="102"/>
      <c r="T8" s="103"/>
      <c r="U8" s="102"/>
      <c r="V8" s="103"/>
      <c r="W8" s="102"/>
      <c r="X8" s="103"/>
      <c r="Y8" s="102"/>
      <c r="Z8" s="103"/>
      <c r="AA8" s="102"/>
      <c r="AB8" s="103"/>
      <c r="AC8" s="102"/>
      <c r="AD8" s="103"/>
    </row>
    <row r="9" spans="1:30" ht="23.1" customHeight="1" thickBot="1" x14ac:dyDescent="0.3">
      <c r="A9" s="100"/>
      <c r="B9" s="101"/>
      <c r="C9" s="100"/>
      <c r="D9" s="101"/>
      <c r="E9" s="100">
        <v>6</v>
      </c>
      <c r="F9" s="101"/>
      <c r="G9" s="100">
        <v>5</v>
      </c>
      <c r="H9" s="101"/>
      <c r="I9" s="100">
        <v>4</v>
      </c>
      <c r="J9" s="101"/>
      <c r="K9" s="100" t="s">
        <v>460</v>
      </c>
      <c r="L9" s="101"/>
      <c r="M9" s="91"/>
      <c r="N9" s="92"/>
      <c r="O9" s="47"/>
      <c r="P9" s="49"/>
      <c r="Q9" s="91"/>
      <c r="R9" s="92"/>
      <c r="S9" s="100" t="s">
        <v>462</v>
      </c>
      <c r="T9" s="101"/>
      <c r="U9" s="100">
        <v>4</v>
      </c>
      <c r="V9" s="101"/>
      <c r="W9" s="100">
        <v>5</v>
      </c>
      <c r="X9" s="101"/>
      <c r="Y9" s="100">
        <v>6</v>
      </c>
      <c r="Z9" s="101"/>
      <c r="AA9" s="100"/>
      <c r="AB9" s="101"/>
      <c r="AC9" s="100"/>
      <c r="AD9" s="101"/>
    </row>
    <row r="10" spans="1:30" ht="23.1" customHeight="1" thickBot="1" x14ac:dyDescent="0.3">
      <c r="A10" s="102"/>
      <c r="B10" s="103"/>
      <c r="C10" s="102"/>
      <c r="D10" s="103"/>
      <c r="E10" s="102"/>
      <c r="F10" s="103"/>
      <c r="G10" s="102"/>
      <c r="H10" s="103"/>
      <c r="I10" s="102"/>
      <c r="J10" s="103"/>
      <c r="K10" s="102"/>
      <c r="L10" s="103"/>
      <c r="M10" s="87" t="s">
        <v>23</v>
      </c>
      <c r="N10" s="88"/>
      <c r="O10" s="47"/>
      <c r="P10" s="49"/>
      <c r="Q10" s="87" t="s">
        <v>45</v>
      </c>
      <c r="R10" s="88"/>
      <c r="S10" s="102"/>
      <c r="T10" s="103"/>
      <c r="U10" s="102"/>
      <c r="V10" s="103"/>
      <c r="W10" s="102"/>
      <c r="X10" s="103"/>
      <c r="Y10" s="102"/>
      <c r="Z10" s="103"/>
      <c r="AA10" s="102"/>
      <c r="AB10" s="103"/>
      <c r="AC10" s="102"/>
      <c r="AD10" s="103"/>
    </row>
    <row r="11" spans="1:30" ht="23.1" customHeight="1" x14ac:dyDescent="0.25">
      <c r="A11" s="87"/>
      <c r="B11" s="88"/>
      <c r="C11" s="100"/>
      <c r="D11" s="101"/>
      <c r="E11" s="100">
        <v>3</v>
      </c>
      <c r="F11" s="101"/>
      <c r="G11" s="100">
        <v>2</v>
      </c>
      <c r="H11" s="101"/>
      <c r="I11" s="100">
        <v>1</v>
      </c>
      <c r="J11" s="101"/>
      <c r="K11" s="100"/>
      <c r="L11" s="101"/>
      <c r="M11" s="89"/>
      <c r="N11" s="90"/>
      <c r="O11" s="89"/>
      <c r="P11" s="90"/>
      <c r="Q11" s="89"/>
      <c r="R11" s="90"/>
      <c r="S11" s="87"/>
      <c r="T11" s="88"/>
      <c r="U11" s="100">
        <v>1</v>
      </c>
      <c r="V11" s="101"/>
      <c r="W11" s="100">
        <v>2</v>
      </c>
      <c r="X11" s="101"/>
      <c r="Y11" s="100">
        <v>3</v>
      </c>
      <c r="Z11" s="101"/>
      <c r="AA11" s="100"/>
      <c r="AB11" s="101"/>
      <c r="AC11" s="100"/>
      <c r="AD11" s="101"/>
    </row>
    <row r="12" spans="1:30" ht="23.1" customHeight="1" thickBot="1" x14ac:dyDescent="0.3">
      <c r="A12" s="91"/>
      <c r="B12" s="92"/>
      <c r="C12" s="102"/>
      <c r="D12" s="103"/>
      <c r="E12" s="102"/>
      <c r="F12" s="103"/>
      <c r="G12" s="102"/>
      <c r="H12" s="103"/>
      <c r="I12" s="102"/>
      <c r="J12" s="103"/>
      <c r="K12" s="102"/>
      <c r="L12" s="103"/>
      <c r="M12" s="91"/>
      <c r="N12" s="92"/>
      <c r="O12" s="89"/>
      <c r="P12" s="90"/>
      <c r="Q12" s="91"/>
      <c r="R12" s="92"/>
      <c r="S12" s="91"/>
      <c r="T12" s="92"/>
      <c r="U12" s="102"/>
      <c r="V12" s="103"/>
      <c r="W12" s="102"/>
      <c r="X12" s="103"/>
      <c r="Y12" s="102"/>
      <c r="Z12" s="103"/>
      <c r="AA12" s="102"/>
      <c r="AB12" s="103"/>
      <c r="AC12" s="102"/>
      <c r="AD12" s="103"/>
    </row>
    <row r="13" spans="1:30" ht="23.1" customHeight="1" x14ac:dyDescent="0.25">
      <c r="A13" s="87" t="s">
        <v>500</v>
      </c>
      <c r="B13" s="88"/>
      <c r="C13" s="87"/>
      <c r="D13" s="88"/>
      <c r="E13" s="31" t="s">
        <v>150</v>
      </c>
      <c r="F13" s="33" t="s">
        <v>163</v>
      </c>
      <c r="G13" s="87">
        <v>0</v>
      </c>
      <c r="H13" s="88"/>
      <c r="I13" s="31" t="s">
        <v>126</v>
      </c>
      <c r="J13" s="33"/>
      <c r="K13" s="43"/>
      <c r="L13" s="22"/>
      <c r="M13" s="22"/>
      <c r="N13" s="22"/>
      <c r="O13" s="48"/>
      <c r="P13" s="48"/>
      <c r="Q13" s="22"/>
      <c r="R13" s="22"/>
      <c r="S13" s="22"/>
      <c r="T13" s="44"/>
      <c r="U13" s="31" t="s">
        <v>126</v>
      </c>
      <c r="V13" s="33"/>
      <c r="W13" s="87">
        <v>0</v>
      </c>
      <c r="X13" s="88"/>
      <c r="Y13" s="31" t="s">
        <v>150</v>
      </c>
      <c r="Z13" s="33" t="s">
        <v>163</v>
      </c>
      <c r="AA13" s="87"/>
      <c r="AB13" s="88"/>
      <c r="AC13" s="87"/>
      <c r="AD13" s="88"/>
    </row>
    <row r="14" spans="1:30" ht="23.1" customHeight="1" thickBot="1" x14ac:dyDescent="0.3">
      <c r="A14" s="91"/>
      <c r="B14" s="92"/>
      <c r="C14" s="91"/>
      <c r="D14" s="92"/>
      <c r="E14" s="23" t="s">
        <v>152</v>
      </c>
      <c r="F14" s="35" t="s">
        <v>158</v>
      </c>
      <c r="G14" s="91"/>
      <c r="H14" s="92"/>
      <c r="I14" s="23" t="s">
        <v>130</v>
      </c>
      <c r="J14" s="35" t="s">
        <v>135</v>
      </c>
      <c r="K14" s="47"/>
      <c r="L14" s="48"/>
      <c r="M14" s="48"/>
      <c r="N14" s="48"/>
      <c r="O14" s="48"/>
      <c r="P14" s="48"/>
      <c r="Q14" s="48"/>
      <c r="R14" s="48"/>
      <c r="S14" s="48"/>
      <c r="T14" s="49"/>
      <c r="U14" s="23" t="s">
        <v>130</v>
      </c>
      <c r="V14" s="35" t="s">
        <v>135</v>
      </c>
      <c r="W14" s="91"/>
      <c r="X14" s="92"/>
      <c r="Y14" s="23" t="s">
        <v>152</v>
      </c>
      <c r="Z14" s="35" t="s">
        <v>158</v>
      </c>
      <c r="AA14" s="91"/>
      <c r="AB14" s="92"/>
      <c r="AC14" s="91"/>
      <c r="AD14" s="92"/>
    </row>
    <row r="15" spans="1:30" ht="15.75" thickBot="1" x14ac:dyDescent="0.3"/>
    <row r="16" spans="1:30" ht="23.1" customHeight="1" x14ac:dyDescent="0.25">
      <c r="I16" s="48"/>
      <c r="J16" s="49"/>
      <c r="K16" s="87" t="s">
        <v>218</v>
      </c>
      <c r="L16" s="88"/>
      <c r="M16" s="87" t="s">
        <v>216</v>
      </c>
      <c r="N16" s="88"/>
      <c r="Q16" s="87" t="s">
        <v>421</v>
      </c>
      <c r="R16" s="88"/>
      <c r="S16" s="87" t="s">
        <v>218</v>
      </c>
      <c r="T16" s="88"/>
      <c r="U16" s="47"/>
      <c r="V16" s="48"/>
    </row>
    <row r="17" spans="1:30" ht="23.1" customHeight="1" thickBot="1" x14ac:dyDescent="0.3">
      <c r="I17" s="21"/>
      <c r="J17" s="46"/>
      <c r="K17" s="91"/>
      <c r="L17" s="92"/>
      <c r="M17" s="91"/>
      <c r="N17" s="92"/>
      <c r="Q17" s="91"/>
      <c r="R17" s="92"/>
      <c r="S17" s="91"/>
      <c r="T17" s="92"/>
      <c r="U17" s="45"/>
      <c r="V17" s="21"/>
    </row>
    <row r="18" spans="1:30" ht="23.1" customHeight="1" x14ac:dyDescent="0.25">
      <c r="I18" s="87">
        <v>0</v>
      </c>
      <c r="J18" s="88"/>
      <c r="K18" s="104"/>
      <c r="L18" s="105"/>
      <c r="M18" s="87"/>
      <c r="N18" s="88"/>
      <c r="Q18" s="87"/>
      <c r="R18" s="88"/>
      <c r="S18" s="87" t="s">
        <v>464</v>
      </c>
      <c r="T18" s="88"/>
      <c r="U18" s="87">
        <v>0</v>
      </c>
      <c r="V18" s="88"/>
    </row>
    <row r="19" spans="1:30" ht="23.1" customHeight="1" thickBot="1" x14ac:dyDescent="0.3">
      <c r="I19" s="89"/>
      <c r="J19" s="90"/>
      <c r="K19" s="106"/>
      <c r="L19" s="107"/>
      <c r="M19" s="91"/>
      <c r="N19" s="92"/>
      <c r="Q19" s="91"/>
      <c r="R19" s="92"/>
      <c r="S19" s="89"/>
      <c r="T19" s="90"/>
      <c r="U19" s="89"/>
      <c r="V19" s="90"/>
    </row>
    <row r="20" spans="1:30" ht="23.1" customHeight="1" x14ac:dyDescent="0.25">
      <c r="I20" s="89"/>
      <c r="J20" s="90"/>
      <c r="K20" s="106"/>
      <c r="L20" s="107"/>
      <c r="M20" s="100">
        <v>1</v>
      </c>
      <c r="N20" s="101"/>
      <c r="Q20" s="100">
        <v>1</v>
      </c>
      <c r="R20" s="101"/>
      <c r="S20" s="89"/>
      <c r="T20" s="90"/>
      <c r="U20" s="89"/>
      <c r="V20" s="90"/>
    </row>
    <row r="21" spans="1:30" ht="23.1" customHeight="1" thickBot="1" x14ac:dyDescent="0.3">
      <c r="I21" s="91"/>
      <c r="J21" s="92"/>
      <c r="K21" s="108"/>
      <c r="L21" s="109"/>
      <c r="M21" s="102"/>
      <c r="N21" s="103"/>
      <c r="Q21" s="102"/>
      <c r="R21" s="103"/>
      <c r="S21" s="91"/>
      <c r="T21" s="92"/>
      <c r="U21" s="91"/>
      <c r="V21" s="92"/>
    </row>
    <row r="23" spans="1:30" hidden="1" x14ac:dyDescent="0.25">
      <c r="A23" s="79" t="str">
        <f>"" &amp; A5 &amp; "\n" &amp; A6 &amp; "\n" &amp; B5 &amp; "\n" &amp; B6</f>
        <v>\n\n\n</v>
      </c>
      <c r="B23" s="79"/>
      <c r="C23" s="79" t="str">
        <f t="shared" ref="C23:AC23" si="0">"" &amp; C5 &amp; "\n" &amp; C6 &amp; "\n" &amp; D5 &amp; "\n" &amp; D6</f>
        <v>\n\n\n</v>
      </c>
      <c r="D23" s="79"/>
      <c r="E23" s="79" t="str">
        <f t="shared" si="0"/>
        <v>\n\n\n</v>
      </c>
      <c r="F23" s="79"/>
      <c r="G23" s="79" t="str">
        <f t="shared" si="0"/>
        <v>\n\n\n</v>
      </c>
      <c r="H23" s="79"/>
      <c r="I23" s="79" t="str">
        <f t="shared" si="0"/>
        <v>\n\n\n</v>
      </c>
      <c r="J23" s="79"/>
      <c r="K23" s="79" t="str">
        <f t="shared" si="0"/>
        <v>\n\n\n</v>
      </c>
      <c r="L23" s="79"/>
      <c r="M23" s="79" t="str">
        <f t="shared" si="0"/>
        <v>\n\n\n</v>
      </c>
      <c r="N23" s="79"/>
      <c r="O23"/>
      <c r="P23"/>
      <c r="Q23" s="79" t="str">
        <f t="shared" si="0"/>
        <v>Del\n\n\n</v>
      </c>
      <c r="R23" s="79"/>
      <c r="S23" s="79" t="str">
        <f t="shared" si="0"/>
        <v>\n\n\n</v>
      </c>
      <c r="T23" s="79"/>
      <c r="U23" s="79" t="str">
        <f t="shared" si="0"/>
        <v>7\n+\n¬\n±</v>
      </c>
      <c r="V23" s="79"/>
      <c r="W23" s="79" t="str">
        <f t="shared" si="0"/>
        <v>8\n-\n¼\n−</v>
      </c>
      <c r="X23" s="79"/>
      <c r="Y23" s="79" t="str">
        <f t="shared" si="0"/>
        <v>9\n/\n½\n÷</v>
      </c>
      <c r="Z23" s="79"/>
      <c r="AA23" s="79" t="str">
        <f t="shared" si="0"/>
        <v>0\n*\n¾\n×</v>
      </c>
      <c r="AB23" s="79"/>
      <c r="AC23" s="79" t="str">
        <f t="shared" si="0"/>
        <v>`\n%\n″\n‰</v>
      </c>
      <c r="AD23" s="79"/>
    </row>
    <row r="24" spans="1:30" hidden="1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/>
      <c r="P24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</row>
    <row r="25" spans="1:30" hidden="1" x14ac:dyDescent="0.25">
      <c r="A25" s="79" t="str">
        <f>"" &amp; A7 &amp; "\n" &amp; A8 &amp; "\n" &amp; B7 &amp; "\n" &amp; B8</f>
        <v>\n\n\n</v>
      </c>
      <c r="B25" s="79"/>
      <c r="C25" s="79" t="str">
        <f>"" &amp; C7 &amp; "\n" &amp; C8 &amp; "\n" &amp; D7 &amp; "\n" &amp; D8</f>
        <v>\n\n\n</v>
      </c>
      <c r="D25" s="79"/>
      <c r="E25" s="86" t="str">
        <f>"" &amp; E7 &amp; "\n" &amp; E8 &amp; "\n" &amp; F7 &amp; "\n" &amp; F8</f>
        <v>9\n\n\n</v>
      </c>
      <c r="F25" s="86"/>
      <c r="G25" s="86" t="str">
        <f>"" &amp; G7 &amp; "\n" &amp; G8 &amp; "\n" &amp; H7 &amp; "\n" &amp; H8</f>
        <v>8\n\n\n</v>
      </c>
      <c r="H25" s="86"/>
      <c r="I25" s="79" t="str">
        <f>"" &amp; I7 &amp; "\n" &amp; I8 &amp; "\n" &amp; J7 &amp; "\n" &amp; J8</f>
        <v>7\n\n\n</v>
      </c>
      <c r="J25" s="79"/>
      <c r="K25" s="79" t="str">
        <f>"" &amp; K7 &amp; "\n" &amp; K8 &amp; "\n" &amp; L7 &amp; "\n" &amp; L8</f>
        <v>\n\n\n</v>
      </c>
      <c r="L25" s="79"/>
      <c r="M25" s="79" t="str">
        <f>M7</f>
        <v>+</v>
      </c>
      <c r="N25" s="79"/>
      <c r="O25"/>
      <c r="P25"/>
      <c r="Q25" s="79" t="str">
        <f>Q7</f>
        <v>/</v>
      </c>
      <c r="R25" s="79"/>
      <c r="S25" s="79" t="str">
        <f>"" &amp; S7 &amp; "\n" &amp; S8 &amp; "\n" &amp; T7 &amp; "\n" &amp; T8</f>
        <v>\n\n\n</v>
      </c>
      <c r="T25" s="79"/>
      <c r="U25" s="79" t="str">
        <f>"" &amp; U7 &amp; "\n" &amp; U8 &amp; "\n" &amp; V7 &amp; "\n" &amp; V8</f>
        <v>7\n\n\n</v>
      </c>
      <c r="V25" s="79"/>
      <c r="W25" s="79" t="str">
        <f>"" &amp; W7 &amp; "\n" &amp; W8 &amp; "\n" &amp; X7 &amp; "\n" &amp; X8</f>
        <v>8\n\n\n</v>
      </c>
      <c r="X25" s="79"/>
      <c r="Y25" s="79" t="str">
        <f>"" &amp; Y7 &amp; "\n" &amp; Y8 &amp; "\n" &amp; Z7 &amp; "\n" &amp; Z8</f>
        <v>9\n\n\n</v>
      </c>
      <c r="Z25" s="79"/>
      <c r="AA25" s="79" t="str">
        <f>"" &amp; AA7 &amp; "\n" &amp; AA8 &amp; "\n" &amp; AB7 &amp; "\n" &amp; AB8</f>
        <v>\n\n\n</v>
      </c>
      <c r="AB25" s="79"/>
      <c r="AC25" s="79" t="str">
        <f>"" &amp; AC7 &amp; "\n" &amp; AC8 &amp; "\n" &amp; AD7 &amp; "\n" &amp; AD8</f>
        <v>\n\n\n</v>
      </c>
      <c r="AD25" s="79"/>
    </row>
    <row r="26" spans="1:30" hidden="1" x14ac:dyDescent="0.25">
      <c r="A26" s="79"/>
      <c r="B26" s="79"/>
      <c r="C26" s="79"/>
      <c r="D26" s="79"/>
      <c r="E26" s="86"/>
      <c r="F26" s="86"/>
      <c r="G26" s="86"/>
      <c r="H26" s="86"/>
      <c r="I26" s="79"/>
      <c r="J26" s="79"/>
      <c r="K26" s="79"/>
      <c r="L26" s="79"/>
      <c r="M26" s="79"/>
      <c r="N26" s="79"/>
      <c r="O26"/>
      <c r="P26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</row>
    <row r="27" spans="1:30" hidden="1" x14ac:dyDescent="0.25">
      <c r="A27" s="79" t="str">
        <f>"" &amp; A9 &amp; "\n" &amp; A10 &amp; "\n" &amp; B9 &amp; "\n" &amp; B10</f>
        <v>\n\n\n</v>
      </c>
      <c r="B27" s="79"/>
      <c r="C27" s="79" t="str">
        <f>"" &amp; C9 &amp; "\n" &amp; C10 &amp; "\n" &amp; D9 &amp; "\n" &amp; D10</f>
        <v>\n\n\n</v>
      </c>
      <c r="D27" s="79"/>
      <c r="E27" s="79" t="str">
        <f>"" &amp; E9 &amp; "\n" &amp; E10 &amp; "\n" &amp; F9 &amp; "\n" &amp; F10</f>
        <v>6\n\n\n</v>
      </c>
      <c r="F27" s="79"/>
      <c r="G27" s="79" t="str">
        <f>"" &amp; G9 &amp; "\n" &amp; G10 &amp; "\n" &amp; H9 &amp; "\n" &amp; H10</f>
        <v>5\n\n\n</v>
      </c>
      <c r="H27" s="79"/>
      <c r="I27" s="79" t="str">
        <f>"" &amp; I9 &amp; "\n" &amp; I10 &amp; "\n" &amp; J9 &amp; "\n" &amp; J10</f>
        <v>4\n\n\n</v>
      </c>
      <c r="J27" s="79"/>
      <c r="K27" s="79" t="str">
        <f>"" &amp; K9 &amp; "\n" &amp; K10 &amp; "\n" &amp; L9 &amp; "\n" &amp; L10</f>
        <v>Cut\n\n\n</v>
      </c>
      <c r="L27" s="79"/>
      <c r="M27" s="79" t="str">
        <f>M10</f>
        <v>-</v>
      </c>
      <c r="N27" s="79"/>
      <c r="O27"/>
      <c r="P27"/>
      <c r="Q27" s="79" t="str">
        <f>Q10</f>
        <v>*</v>
      </c>
      <c r="R27" s="79"/>
      <c r="S27" s="79" t="str">
        <f>"" &amp; S9 &amp; "\n" &amp; S10 &amp; "\n" &amp; T9 &amp; "\n" &amp; T10</f>
        <v>Copy\n\n\n</v>
      </c>
      <c r="T27" s="79"/>
      <c r="U27" s="79" t="str">
        <f>"" &amp; U9 &amp; "\n" &amp; U10 &amp; "\n" &amp; V9 &amp; "\n" &amp; V10</f>
        <v>4\n\n\n</v>
      </c>
      <c r="V27" s="79"/>
      <c r="W27" s="79" t="str">
        <f>"" &amp; W9 &amp; "\n" &amp; W10 &amp; "\n" &amp; X9 &amp; "\n" &amp; X10</f>
        <v>5\n\n\n</v>
      </c>
      <c r="X27" s="79"/>
      <c r="Y27" s="79" t="str">
        <f>"" &amp; Y9 &amp; "\n" &amp; Y10 &amp; "\n" &amp; Z9 &amp; "\n" &amp; Z10</f>
        <v>6\n\n\n</v>
      </c>
      <c r="Z27" s="79"/>
      <c r="AA27" s="79" t="str">
        <f>"" &amp; AA9 &amp; "\n" &amp; AA10 &amp; "\n" &amp; AB9 &amp; "\n" &amp; AB10</f>
        <v>\n\n\n</v>
      </c>
      <c r="AB27" s="79"/>
      <c r="AC27" s="79" t="str">
        <f>"" &amp; AC9 &amp; "\n" &amp; AC10 &amp; "\n" &amp; AD9 &amp; "\n" &amp; AD10</f>
        <v>\n\n\n</v>
      </c>
      <c r="AD27" s="79"/>
    </row>
    <row r="28" spans="1:30" hidden="1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/>
      <c r="P28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</row>
    <row r="29" spans="1:30" hidden="1" x14ac:dyDescent="0.25">
      <c r="A29" s="79" t="str">
        <f>"" &amp; A11 &amp; "\n" &amp; A12 &amp; "\n" &amp; B11 &amp; "\n" &amp; B12</f>
        <v>\n\n\n</v>
      </c>
      <c r="B29" s="79"/>
      <c r="C29" s="79" t="str">
        <f>"" &amp; C11 &amp; "\n" &amp; C12 &amp; "\n" &amp; D11 &amp; "\n" &amp; D12</f>
        <v>\n\n\n</v>
      </c>
      <c r="D29" s="79"/>
      <c r="E29" s="79" t="str">
        <f>"" &amp; E11 &amp; "\n" &amp; E12 &amp; "\n" &amp; F11 &amp; "\n" &amp; F12</f>
        <v>3\n\n\n</v>
      </c>
      <c r="F29" s="79"/>
      <c r="G29" s="79" t="str">
        <f>"" &amp; G11 &amp; "\n" &amp; G12 &amp; "\n" &amp; H11 &amp; "\n" &amp; H12</f>
        <v>2\n\n\n</v>
      </c>
      <c r="H29" s="79"/>
      <c r="I29" s="79" t="str">
        <f>"" &amp; I11 &amp; "\n" &amp; I12 &amp; "\n" &amp; J11 &amp; "\n" &amp; J12</f>
        <v>1\n\n\n</v>
      </c>
      <c r="J29" s="79"/>
      <c r="K29" s="79" t="str">
        <f>"" &amp; K11 &amp; "\n" &amp; K12 &amp; "\n" &amp; L11 &amp; "\n" &amp; L12</f>
        <v>\n\n\n</v>
      </c>
      <c r="L29" s="79"/>
      <c r="M29" s="79"/>
      <c r="N29" s="79"/>
      <c r="O29"/>
      <c r="P29"/>
      <c r="Q29" s="79"/>
      <c r="R29" s="79"/>
      <c r="S29" s="79" t="str">
        <f>"" &amp; S11 &amp; "\n" &amp; S12 &amp; "\n" &amp; T11 &amp; "\n" &amp; T12</f>
        <v>\n\n\n</v>
      </c>
      <c r="T29" s="79"/>
      <c r="U29" s="79" t="str">
        <f>"" &amp; U11 &amp; "\n" &amp; U12 &amp; "\n" &amp; V11 &amp; "\n" &amp; V12</f>
        <v>1\n\n\n</v>
      </c>
      <c r="V29" s="79"/>
      <c r="W29" s="79" t="str">
        <f>"" &amp; W11 &amp; "\n" &amp; W12 &amp; "\n" &amp; X11 &amp; "\n" &amp; X12</f>
        <v>2\n\n\n</v>
      </c>
      <c r="X29" s="79"/>
      <c r="Y29" s="79" t="str">
        <f>"" &amp; Y11 &amp; "\n" &amp; Y12 &amp; "\n" &amp; Z11 &amp; "\n" &amp; Z12</f>
        <v>3\n\n\n</v>
      </c>
      <c r="Z29" s="79"/>
      <c r="AA29" s="79" t="str">
        <f>"" &amp; AA11 &amp; "\n" &amp; AA12 &amp; "\n" &amp; AB11 &amp; "\n" &amp; AB12</f>
        <v>\n\n\n</v>
      </c>
      <c r="AB29" s="79"/>
      <c r="AC29" s="79" t="str">
        <f>"" &amp; AC11 &amp; "\n" &amp; AC12 &amp; "\n" &amp; AD11 &amp; "\n" &amp; AD12</f>
        <v>\n\n\n</v>
      </c>
      <c r="AD29" s="79"/>
    </row>
    <row r="30" spans="1:30" hidden="1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/>
      <c r="P30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</row>
    <row r="31" spans="1:30" hidden="1" x14ac:dyDescent="0.25">
      <c r="A31" s="79" t="str">
        <f>"" &amp; A13 &amp; "\n" &amp; A14 &amp; "\n" &amp; B13 &amp; "\n" &amp; B14</f>
        <v>Calc\n\n\n</v>
      </c>
      <c r="B31" s="79"/>
      <c r="C31" s="79" t="str">
        <f>"" &amp; C13 &amp; "\n" &amp; C14 &amp; "\n" &amp; D13 &amp; "\n" &amp; D14</f>
        <v>\n\n\n</v>
      </c>
      <c r="D31" s="79"/>
      <c r="E31" s="79" t="str">
        <f>"" &amp; E13 &amp; "\n" &amp; E14 &amp; "\n" &amp; F13 &amp; "\n" &amp; F14</f>
        <v>:\n.\n·\n…</v>
      </c>
      <c r="F31" s="79"/>
      <c r="G31" s="79" t="str">
        <f>"" &amp; G13 &amp; "\n" &amp; G14 &amp; "\n" &amp; H13 &amp; "\n" &amp; H14</f>
        <v>0\n\n\n</v>
      </c>
      <c r="H31" s="79"/>
      <c r="I31" s="79" t="str">
        <f>"" &amp; I13 &amp; "\n" &amp; I14 &amp; "\n" &amp; J13 &amp; "\n" &amp; J14</f>
        <v>;\n,\n\n’</v>
      </c>
      <c r="J31" s="79"/>
      <c r="K31" s="79"/>
      <c r="L31" s="79"/>
      <c r="M31" s="79"/>
      <c r="N31" s="79"/>
      <c r="O31"/>
      <c r="P31"/>
      <c r="Q31" s="79"/>
      <c r="R31" s="79"/>
      <c r="S31" s="79"/>
      <c r="T31" s="79"/>
      <c r="U31" s="79" t="str">
        <f>"" &amp; U13 &amp; "\n" &amp; U14 &amp; "\n" &amp; V13 &amp; "\n" &amp; V14</f>
        <v>;\n,\n\n’</v>
      </c>
      <c r="V31" s="79"/>
      <c r="W31" s="79" t="str">
        <f>"" &amp; W13 &amp; "\n" &amp; W14 &amp; "\n" &amp; X13 &amp; "\n" &amp; X14</f>
        <v>0\n\n\n</v>
      </c>
      <c r="X31" s="79"/>
      <c r="Y31" s="79" t="str">
        <f>"" &amp; Y13 &amp; "\n" &amp; Y14 &amp; "\n" &amp; Z13 &amp; "\n" &amp; Z14</f>
        <v>:\n.\n·\n…</v>
      </c>
      <c r="Z31" s="79"/>
      <c r="AA31" s="79" t="str">
        <f>"" &amp; AA13 &amp; "\n" &amp; AA14 &amp; "\n" &amp; AB13 &amp; "\n" &amp; AB14</f>
        <v>\n\n\n</v>
      </c>
      <c r="AB31" s="79"/>
      <c r="AC31" s="79" t="str">
        <f>"" &amp; AC13 &amp; "\n" &amp; AC14 &amp; "\n" &amp; AD13 &amp; "\n" &amp; AD14</f>
        <v>\n\n\n</v>
      </c>
      <c r="AD31" s="79"/>
    </row>
    <row r="32" spans="1:30" hidden="1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</row>
    <row r="33" spans="1:36" hidden="1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</row>
    <row r="34" spans="1:36" ht="15.75" thickBot="1" x14ac:dyDescent="0.3"/>
    <row r="35" spans="1:36" ht="15.75" thickBot="1" x14ac:dyDescent="0.3">
      <c r="A35" s="80" t="s">
        <v>594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2"/>
      <c r="P35" s="83" t="s">
        <v>595</v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5"/>
    </row>
    <row r="36" spans="1:36" x14ac:dyDescent="0.25">
      <c r="A36" s="25" t="str">
        <f>"[{x:3.5},"""&amp;G23&amp;""",{x:10.5},"""&amp;W23&amp;"""],"</f>
        <v>[{x:3.5},"\n\n\n",{x:10.5},"8\n-\n¼\n−"],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76" t="s">
        <v>643</v>
      </c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8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[{y:-0.875,x:2.5},"\n\n\n",{x:1},"\n\n\n",{x:8.5},"7\n+\n¬\n±",{x:1},"9\n/\n½\n÷"],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70" t="s">
        <v>45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2"/>
    </row>
    <row r="38" spans="1:36" x14ac:dyDescent="0.25">
      <c r="A38" s="25" t="str">
        <f>"[{y:-0.875,x:5.5},""" &amp; K23 &amp; """,""" &amp; M23 &amp;""",{x:4.5},"""&amp; Q23 &amp; """,""" &amp; S23 &amp; """],"</f>
        <v>[{y:-0.875,x:5.5},"\n\n\n","\n\n\n",{x:4.5},"Del\n\n\n","\n\n\n"],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70" t="s">
        <v>567</v>
      </c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2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[{y:-0.875,w:1.5},"\n\n\n","\n\n\n",{x:14.5},"0\n*\n¾\n×",{w:1.5},"`\n%\n″\n‰"],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70" t="s">
        <v>646</v>
      </c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2"/>
    </row>
    <row r="40" spans="1:36" x14ac:dyDescent="0.25">
      <c r="A40" s="25" t="str">
        <f>"[{y:-0.375,x:3.5},""" &amp; G25 &amp; """,{x:10.5},""" &amp; W25&amp;"""],"</f>
        <v>[{y:-0.375,x:3.5},"8\n\n\n",{x:10.5},"8\n\n\n"],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70" t="s">
        <v>598</v>
      </c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2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[{y:-0.875,x:2.5},"9\n\n\n",{x:1},"7\n\n\n",{x:8.5},"7\n\n\n",{x:1},"9\n\n\n"],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70" t="s">
        <v>676</v>
      </c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2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,{h:1.5},"+",{x:4.5,h:1.5},"/","\n\n\n"],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70" t="s">
        <v>568</v>
      </c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2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70" t="s">
        <v>679</v>
      </c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2"/>
    </row>
    <row r="44" spans="1:36" x14ac:dyDescent="0.25">
      <c r="A44" s="25" t="str">
        <f>"[{y:-0.375,x:3.5},""" &amp; G27&amp; """,{x:10.5},""" &amp; W27&amp; """],"</f>
        <v>[{y:-0.375,x:3.5},"5\n\n\n",{x:10.5},"5\n\n\n"],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70" t="s">
        <v>568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2"/>
    </row>
    <row r="45" spans="1:36" x14ac:dyDescent="0.25">
      <c r="A45" s="25" t="str">
        <f>"[{y:-0.875,x:2.5},""" &amp;E27&amp; """,{x:1},""" &amp;I27&amp; """,{x:8.5},""" &amp;U27&amp; """,{x:1},""" &amp;Y27&amp; """],"</f>
        <v>[{y:-0.875,x:2.5},"6\n\n\n",{x:1},"4\n\n\n",{x:8.5},"4\n\n\n",{x:1},"6\n\n\n"],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70" t="s">
        <v>682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2"/>
    </row>
    <row r="46" spans="1:36" x14ac:dyDescent="0.25">
      <c r="A46" s="25" t="str">
        <f>"[{y:-0.875,x:5.5},""" &amp; K27 &amp;""",{x:6.5},""" &amp; S27 &amp; """],"</f>
        <v>[{y:-0.875,x:5.5},"Cut\n\n\n",{x:6.5},"Copy\n\n\n"],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70" t="s">
        <v>569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2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70" t="s">
        <v>685</v>
      </c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2"/>
    </row>
    <row r="48" spans="1:36" x14ac:dyDescent="0.25">
      <c r="A48" s="25" t="str">
        <f>"[{y:-0.625,x:6.5,h:1.5},""" &amp; M27 &amp; """,{x:4.5,h:1.5},""" &amp; Q27 &amp; """],"</f>
        <v>[{y:-0.625,x:6.5,h:1.5},"-",{x:4.5,h:1.5},"*"],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70" t="s">
        <v>570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2"/>
    </row>
    <row r="49" spans="1:36" x14ac:dyDescent="0.25">
      <c r="A49" s="25" t="str">
        <f>"[{y:-0.75,x:3.5},""" &amp; G29 &amp; """,{x:10.5},""" &amp; W29 &amp; """],"</f>
        <v>[{y:-0.75,x:3.5},"2\n\n\n",{x:10.5},"2\n\n\n"],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70" t="s">
        <v>571</v>
      </c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2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[{y:-0.875,x:2.5},"3\n\n\n",{x:1},"1\n\n\n",{x:8.5},"1\n\n\n",{x:1},"3\n\n\n"],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70" t="s">
        <v>647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2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70" t="s">
        <v>600</v>
      </c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2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70" t="s">
        <v>601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2"/>
    </row>
    <row r="53" spans="1:36" x14ac:dyDescent="0.25">
      <c r="A53" s="25" t="str">
        <f>"[{y:-0.375,x:3.5},""" &amp; G31&amp; """,{x:10.5},""" &amp; W31&amp; """],"</f>
        <v>[{y:-0.375,x:3.5},"0\n\n\n",{x:10.5},"0\n\n\n"],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70" t="s">
        <v>602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2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[{y:-0.875,x:2.5},":\n.\n·\n…",{x:1},";\n,\n\n’",{x:8.5},";\n,\n\n’",{x:1},":\n.\n·\n…"],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70" t="s">
        <v>688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2"/>
    </row>
    <row r="55" spans="1:36" x14ac:dyDescent="0.25">
      <c r="A55" s="25" t="str">
        <f>"[{y:-0.75,x:0.5},""" &amp; A31&amp; """,""" &amp; C31&amp; """,{x:14.5},""" &amp; AA31&amp; """,""" &amp;AC31 &amp; """],"</f>
        <v>[{y:-0.75,x:0.5},"Calc\n\n\n","\n\n\n",{x:14.5},"\n\n\n","\n\n\n"],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70" t="s">
        <v>603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2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70" t="s">
        <v>572</v>
      </c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2"/>
    </row>
    <row r="57" spans="1:36" x14ac:dyDescent="0.25">
      <c r="A57" s="25" t="str">
        <f>"[{h:2},""" &amp;I18&amp; """,{h:2},""" &amp;K18&amp; """,""" &amp;M18&amp; """],"</f>
        <v>[{h:2},"0",{h:2},"",""],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70" t="s">
        <v>644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2"/>
    </row>
    <row r="58" spans="1:36" x14ac:dyDescent="0.25">
      <c r="A58" s="25" t="str">
        <f>"[{x:2},""" &amp;M20&amp;"""],"</f>
        <v>[{x:2},"1"],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70" t="s">
        <v>573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2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70" t="s">
        <v>608</v>
      </c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2"/>
    </row>
    <row r="60" spans="1:36" x14ac:dyDescent="0.25">
      <c r="A60" s="25" t="str">
        <f>"[{x:-3},""" &amp;Q18&amp; """,{h:2},""" &amp;S18&amp; """,{h:2},""" &amp;U18&amp; """],"</f>
        <v>[{x:-3},"",{h:2},"Paste",{h:2},"0"],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70" t="s">
        <v>675</v>
      </c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2"/>
    </row>
    <row r="61" spans="1:36" ht="15.75" thickBot="1" x14ac:dyDescent="0.3">
      <c r="A61" s="28" t="str">
        <f>"[{x:-3},"""&amp;Q20&amp;"""]"</f>
        <v>[{x:-3},"1"]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70" t="s">
        <v>678</v>
      </c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2"/>
    </row>
    <row r="62" spans="1:36" x14ac:dyDescent="0.25">
      <c r="P62" s="70" t="s">
        <v>681</v>
      </c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2"/>
    </row>
    <row r="63" spans="1:36" x14ac:dyDescent="0.25">
      <c r="P63" s="70" t="s">
        <v>684</v>
      </c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2"/>
    </row>
    <row r="64" spans="1:36" x14ac:dyDescent="0.25">
      <c r="P64" s="70" t="s">
        <v>640</v>
      </c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2"/>
    </row>
    <row r="65" spans="16:36" x14ac:dyDescent="0.25">
      <c r="P65" s="70" t="s">
        <v>611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2"/>
    </row>
    <row r="66" spans="16:36" x14ac:dyDescent="0.25">
      <c r="P66" s="70" t="s">
        <v>687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2"/>
    </row>
    <row r="67" spans="16:36" x14ac:dyDescent="0.25">
      <c r="P67" s="70" t="s">
        <v>574</v>
      </c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2"/>
    </row>
    <row r="68" spans="16:36" x14ac:dyDescent="0.25">
      <c r="P68" s="70" t="s">
        <v>645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2"/>
    </row>
    <row r="69" spans="16:36" x14ac:dyDescent="0.25">
      <c r="P69" s="70" t="s">
        <v>677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2"/>
    </row>
    <row r="70" spans="16:36" x14ac:dyDescent="0.25">
      <c r="P70" s="70" t="s">
        <v>680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2"/>
    </row>
    <row r="71" spans="16:36" x14ac:dyDescent="0.25">
      <c r="P71" s="70" t="s">
        <v>683</v>
      </c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2"/>
    </row>
    <row r="72" spans="16:36" x14ac:dyDescent="0.25">
      <c r="P72" s="70" t="s">
        <v>686</v>
      </c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2"/>
    </row>
    <row r="73" spans="16:36" x14ac:dyDescent="0.25">
      <c r="P73" s="70" t="s">
        <v>590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2"/>
    </row>
    <row r="74" spans="16:36" x14ac:dyDescent="0.25">
      <c r="P74" s="70" t="s">
        <v>612</v>
      </c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2"/>
    </row>
    <row r="75" spans="16:36" x14ac:dyDescent="0.25">
      <c r="P75" s="70" t="s">
        <v>689</v>
      </c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2"/>
    </row>
    <row r="76" spans="16:36" ht="15.75" thickBot="1" x14ac:dyDescent="0.3">
      <c r="P76" s="73" t="s">
        <v>581</v>
      </c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5"/>
    </row>
  </sheetData>
  <mergeCells count="183">
    <mergeCell ref="P74:AJ74"/>
    <mergeCell ref="P75:AJ75"/>
    <mergeCell ref="P76:AJ76"/>
    <mergeCell ref="P68:AJ68"/>
    <mergeCell ref="P69:AJ69"/>
    <mergeCell ref="P70:AJ70"/>
    <mergeCell ref="P71:AJ71"/>
    <mergeCell ref="P72:AJ72"/>
    <mergeCell ref="P73:AJ73"/>
    <mergeCell ref="P62:AJ62"/>
    <mergeCell ref="P63:AJ63"/>
    <mergeCell ref="P64:AJ64"/>
    <mergeCell ref="P65:AJ65"/>
    <mergeCell ref="P66:AJ66"/>
    <mergeCell ref="P67:AJ67"/>
    <mergeCell ref="P56:AJ56"/>
    <mergeCell ref="P57:AJ57"/>
    <mergeCell ref="P58:AJ58"/>
    <mergeCell ref="P59:AJ59"/>
    <mergeCell ref="P60:AJ60"/>
    <mergeCell ref="P61:AJ61"/>
    <mergeCell ref="P50:AJ50"/>
    <mergeCell ref="P51:AJ51"/>
    <mergeCell ref="P52:AJ52"/>
    <mergeCell ref="P53:AJ53"/>
    <mergeCell ref="P54:AJ54"/>
    <mergeCell ref="P55:AJ55"/>
    <mergeCell ref="P44:AJ44"/>
    <mergeCell ref="P45:AJ45"/>
    <mergeCell ref="P46:AJ46"/>
    <mergeCell ref="P47:AJ47"/>
    <mergeCell ref="P48:AJ48"/>
    <mergeCell ref="P49:AJ49"/>
    <mergeCell ref="P38:AJ38"/>
    <mergeCell ref="P39:AJ39"/>
    <mergeCell ref="P40:AJ40"/>
    <mergeCell ref="P41:AJ41"/>
    <mergeCell ref="P42:AJ42"/>
    <mergeCell ref="P43:AJ43"/>
    <mergeCell ref="AA31:AB32"/>
    <mergeCell ref="AC31:AD32"/>
    <mergeCell ref="A35:N35"/>
    <mergeCell ref="P35:AJ35"/>
    <mergeCell ref="P36:AJ36"/>
    <mergeCell ref="P37:AJ37"/>
    <mergeCell ref="M31:N32"/>
    <mergeCell ref="Q31:R32"/>
    <mergeCell ref="S31:T32"/>
    <mergeCell ref="U31:V32"/>
    <mergeCell ref="W31:X32"/>
    <mergeCell ref="Y31:Z32"/>
    <mergeCell ref="A31:B32"/>
    <mergeCell ref="C31:D32"/>
    <mergeCell ref="E31:F32"/>
    <mergeCell ref="G31:H32"/>
    <mergeCell ref="I31:J32"/>
    <mergeCell ref="K31:L32"/>
    <mergeCell ref="S29:T30"/>
    <mergeCell ref="U29:V30"/>
    <mergeCell ref="W29:X30"/>
    <mergeCell ref="Y29:Z30"/>
    <mergeCell ref="AA29:AB30"/>
    <mergeCell ref="AC29:AD30"/>
    <mergeCell ref="AA27:AB28"/>
    <mergeCell ref="AC27:AD28"/>
    <mergeCell ref="A29:B30"/>
    <mergeCell ref="C29:D30"/>
    <mergeCell ref="E29:F30"/>
    <mergeCell ref="G29:H30"/>
    <mergeCell ref="I29:J30"/>
    <mergeCell ref="K29:L30"/>
    <mergeCell ref="M29:N30"/>
    <mergeCell ref="Q29:R30"/>
    <mergeCell ref="M27:N28"/>
    <mergeCell ref="Q27:R28"/>
    <mergeCell ref="S27:T28"/>
    <mergeCell ref="U27:V28"/>
    <mergeCell ref="W27:X28"/>
    <mergeCell ref="Y27:Z28"/>
    <mergeCell ref="A27:B28"/>
    <mergeCell ref="C27:D28"/>
    <mergeCell ref="E27:F28"/>
    <mergeCell ref="G27:H28"/>
    <mergeCell ref="I27:J28"/>
    <mergeCell ref="K27:L28"/>
    <mergeCell ref="S25:T26"/>
    <mergeCell ref="U25:V26"/>
    <mergeCell ref="W25:X26"/>
    <mergeCell ref="Y25:Z26"/>
    <mergeCell ref="AA25:AB26"/>
    <mergeCell ref="AC25:AD26"/>
    <mergeCell ref="AA23:AB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M23:N24"/>
    <mergeCell ref="Q23:R24"/>
    <mergeCell ref="S23:T24"/>
    <mergeCell ref="U23:V24"/>
    <mergeCell ref="W23:X24"/>
    <mergeCell ref="Y23:Z24"/>
    <mergeCell ref="A23:B24"/>
    <mergeCell ref="C23:D24"/>
    <mergeCell ref="E23:F24"/>
    <mergeCell ref="G23:H24"/>
    <mergeCell ref="I23:J24"/>
    <mergeCell ref="K23:L24"/>
    <mergeCell ref="I18:J21"/>
    <mergeCell ref="K18:L21"/>
    <mergeCell ref="M18:N19"/>
    <mergeCell ref="Q18:R19"/>
    <mergeCell ref="S18:T21"/>
    <mergeCell ref="U18:V21"/>
    <mergeCell ref="M20:N21"/>
    <mergeCell ref="Q20:R21"/>
    <mergeCell ref="W13:X14"/>
    <mergeCell ref="A9:B10"/>
    <mergeCell ref="C9:D10"/>
    <mergeCell ref="AA13:AB14"/>
    <mergeCell ref="AC13:AD14"/>
    <mergeCell ref="K16:L17"/>
    <mergeCell ref="M16:N17"/>
    <mergeCell ref="Q16:R17"/>
    <mergeCell ref="S16:T17"/>
    <mergeCell ref="A13:B14"/>
    <mergeCell ref="C13:D14"/>
    <mergeCell ref="G13:H14"/>
    <mergeCell ref="C11:D12"/>
    <mergeCell ref="E11:F12"/>
    <mergeCell ref="G11:H12"/>
    <mergeCell ref="I11:J12"/>
    <mergeCell ref="K11:L12"/>
    <mergeCell ref="AC11:AD12"/>
    <mergeCell ref="S11:T12"/>
    <mergeCell ref="U11:V12"/>
    <mergeCell ref="W11:X12"/>
    <mergeCell ref="Y11:Z12"/>
    <mergeCell ref="AA11:AB12"/>
    <mergeCell ref="A1:AD3"/>
    <mergeCell ref="A4:AD4"/>
    <mergeCell ref="Q5:R6"/>
    <mergeCell ref="M7:N9"/>
    <mergeCell ref="Q7:R9"/>
    <mergeCell ref="M10:N12"/>
    <mergeCell ref="Q10:R12"/>
    <mergeCell ref="A11:B12"/>
    <mergeCell ref="O11:P12"/>
    <mergeCell ref="A5:B6"/>
    <mergeCell ref="C5:D6"/>
    <mergeCell ref="E5:F6"/>
    <mergeCell ref="G5:H6"/>
    <mergeCell ref="I5:J6"/>
    <mergeCell ref="K5:L6"/>
    <mergeCell ref="M5:N6"/>
    <mergeCell ref="A7:B8"/>
    <mergeCell ref="C7:D8"/>
    <mergeCell ref="E7:F8"/>
    <mergeCell ref="S5:T6"/>
    <mergeCell ref="S7:T8"/>
    <mergeCell ref="U7:V8"/>
    <mergeCell ref="W7:X8"/>
    <mergeCell ref="Y7:Z8"/>
    <mergeCell ref="AA7:AB8"/>
    <mergeCell ref="E9:F10"/>
    <mergeCell ref="G9:H10"/>
    <mergeCell ref="I9:J10"/>
    <mergeCell ref="K9:L10"/>
    <mergeCell ref="G7:H8"/>
    <mergeCell ref="I7:J8"/>
    <mergeCell ref="K7:L8"/>
    <mergeCell ref="AC7:AD8"/>
    <mergeCell ref="AC9:AD10"/>
    <mergeCell ref="S9:T10"/>
    <mergeCell ref="U9:V10"/>
    <mergeCell ref="W9:X10"/>
    <mergeCell ref="Y9:Z10"/>
    <mergeCell ref="AA9:AB10"/>
  </mergeCells>
  <hyperlinks>
    <hyperlink ref="A35" r:id="rId1" display="http://www.keyboard-layout-editor.com" xr:uid="{00000000-0004-0000-01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pageSetUpPr fitToPage="1"/>
  </sheetPr>
  <dimension ref="A1:AJ76"/>
  <sheetViews>
    <sheetView topLeftCell="A3" zoomScale="85" zoomScaleNormal="85" workbookViewId="0">
      <selection activeCell="M20" sqref="M20:N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89" t="s">
        <v>615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0"/>
    </row>
    <row r="2" spans="1:30" ht="23.1" hidden="1" customHeight="1" thickBot="1" x14ac:dyDescent="0.3">
      <c r="A2" s="8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0"/>
    </row>
    <row r="3" spans="1:30" ht="23.1" customHeight="1" x14ac:dyDescent="0.25">
      <c r="A3" s="8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0"/>
    </row>
    <row r="4" spans="1:30" ht="23.1" customHeight="1" thickBot="1" x14ac:dyDescent="0.3">
      <c r="A4" s="89" t="s">
        <v>616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0"/>
    </row>
    <row r="5" spans="1:30" ht="23.1" customHeight="1" x14ac:dyDescent="0.25">
      <c r="A5" s="100"/>
      <c r="B5" s="101"/>
      <c r="C5" s="100" t="s">
        <v>369</v>
      </c>
      <c r="D5" s="101"/>
      <c r="E5" s="100" t="s">
        <v>370</v>
      </c>
      <c r="F5" s="101"/>
      <c r="G5" s="100" t="s">
        <v>371</v>
      </c>
      <c r="H5" s="101"/>
      <c r="I5" s="100" t="s">
        <v>372</v>
      </c>
      <c r="J5" s="101"/>
      <c r="K5" s="100" t="s">
        <v>373</v>
      </c>
      <c r="L5" s="101"/>
      <c r="M5" s="100" t="s">
        <v>374</v>
      </c>
      <c r="N5" s="101"/>
      <c r="O5" s="57"/>
      <c r="P5" s="58"/>
      <c r="Q5" s="87" t="s">
        <v>375</v>
      </c>
      <c r="R5" s="88"/>
      <c r="S5" s="87" t="s">
        <v>376</v>
      </c>
      <c r="T5" s="88"/>
      <c r="U5" s="87" t="s">
        <v>377</v>
      </c>
      <c r="V5" s="88"/>
      <c r="W5" s="87" t="s">
        <v>378</v>
      </c>
      <c r="X5" s="88"/>
      <c r="Y5" s="87" t="s">
        <v>379</v>
      </c>
      <c r="Z5" s="88"/>
      <c r="AA5" s="87" t="s">
        <v>380</v>
      </c>
      <c r="AB5" s="88"/>
      <c r="AC5" s="87"/>
      <c r="AD5" s="88"/>
    </row>
    <row r="6" spans="1:30" ht="23.1" customHeight="1" thickBot="1" x14ac:dyDescent="0.3">
      <c r="A6" s="102"/>
      <c r="B6" s="103"/>
      <c r="C6" s="102"/>
      <c r="D6" s="103"/>
      <c r="E6" s="102"/>
      <c r="F6" s="103"/>
      <c r="G6" s="102"/>
      <c r="H6" s="103"/>
      <c r="I6" s="102"/>
      <c r="J6" s="103"/>
      <c r="K6" s="102"/>
      <c r="L6" s="103"/>
      <c r="M6" s="102"/>
      <c r="N6" s="103"/>
      <c r="O6" s="57"/>
      <c r="P6" s="58"/>
      <c r="Q6" s="91"/>
      <c r="R6" s="92"/>
      <c r="S6" s="91"/>
      <c r="T6" s="92"/>
      <c r="U6" s="91"/>
      <c r="V6" s="92"/>
      <c r="W6" s="91"/>
      <c r="X6" s="92"/>
      <c r="Y6" s="91"/>
      <c r="Z6" s="92"/>
      <c r="AA6" s="91"/>
      <c r="AB6" s="92"/>
      <c r="AC6" s="91"/>
      <c r="AD6" s="92"/>
    </row>
    <row r="7" spans="1:30" ht="23.1" customHeight="1" x14ac:dyDescent="0.25">
      <c r="A7" s="100"/>
      <c r="B7" s="101"/>
      <c r="C7" s="100"/>
      <c r="D7" s="101"/>
      <c r="E7" s="100" t="s">
        <v>435</v>
      </c>
      <c r="F7" s="101"/>
      <c r="G7" s="100" t="s">
        <v>353</v>
      </c>
      <c r="H7" s="101"/>
      <c r="I7" s="100" t="s">
        <v>438</v>
      </c>
      <c r="J7" s="101"/>
      <c r="K7" s="100"/>
      <c r="L7" s="101"/>
      <c r="M7" s="87" t="s">
        <v>436</v>
      </c>
      <c r="N7" s="88"/>
      <c r="O7" s="57"/>
      <c r="P7" s="58"/>
      <c r="Q7" s="87" t="s">
        <v>440</v>
      </c>
      <c r="R7" s="88"/>
      <c r="S7" s="100"/>
      <c r="T7" s="101"/>
      <c r="U7" s="100" t="s">
        <v>435</v>
      </c>
      <c r="V7" s="101"/>
      <c r="W7" s="100" t="s">
        <v>353</v>
      </c>
      <c r="X7" s="101"/>
      <c r="Y7" s="100" t="s">
        <v>438</v>
      </c>
      <c r="Z7" s="101"/>
      <c r="AA7" s="100"/>
      <c r="AB7" s="101"/>
      <c r="AC7" s="100"/>
      <c r="AD7" s="101"/>
    </row>
    <row r="8" spans="1:30" ht="23.1" customHeight="1" thickBot="1" x14ac:dyDescent="0.3">
      <c r="A8" s="102"/>
      <c r="B8" s="103"/>
      <c r="C8" s="102"/>
      <c r="D8" s="103"/>
      <c r="E8" s="102"/>
      <c r="F8" s="103"/>
      <c r="G8" s="102"/>
      <c r="H8" s="103"/>
      <c r="I8" s="102"/>
      <c r="J8" s="103"/>
      <c r="K8" s="102"/>
      <c r="L8" s="103"/>
      <c r="M8" s="89"/>
      <c r="N8" s="90"/>
      <c r="O8" s="57"/>
      <c r="P8" s="58"/>
      <c r="Q8" s="89"/>
      <c r="R8" s="90"/>
      <c r="S8" s="102"/>
      <c r="T8" s="103"/>
      <c r="U8" s="102"/>
      <c r="V8" s="103"/>
      <c r="W8" s="102"/>
      <c r="X8" s="103"/>
      <c r="Y8" s="102"/>
      <c r="Z8" s="103"/>
      <c r="AA8" s="102"/>
      <c r="AB8" s="103"/>
      <c r="AC8" s="102"/>
      <c r="AD8" s="103"/>
    </row>
    <row r="9" spans="1:30" ht="23.1" customHeight="1" thickBot="1" x14ac:dyDescent="0.3">
      <c r="A9" s="100"/>
      <c r="B9" s="101"/>
      <c r="C9" s="100"/>
      <c r="D9" s="101"/>
      <c r="E9" s="100" t="s">
        <v>355</v>
      </c>
      <c r="F9" s="101"/>
      <c r="G9" s="100" t="s">
        <v>354</v>
      </c>
      <c r="H9" s="101"/>
      <c r="I9" s="100" t="s">
        <v>356</v>
      </c>
      <c r="J9" s="101"/>
      <c r="K9" s="100"/>
      <c r="L9" s="101"/>
      <c r="M9" s="91"/>
      <c r="N9" s="92"/>
      <c r="O9" s="57"/>
      <c r="P9" s="58"/>
      <c r="Q9" s="91"/>
      <c r="R9" s="92"/>
      <c r="S9" s="100"/>
      <c r="T9" s="101"/>
      <c r="U9" s="100" t="s">
        <v>355</v>
      </c>
      <c r="V9" s="101"/>
      <c r="W9" s="100" t="s">
        <v>354</v>
      </c>
      <c r="X9" s="101"/>
      <c r="Y9" s="100" t="s">
        <v>356</v>
      </c>
      <c r="Z9" s="101"/>
      <c r="AA9" s="100"/>
      <c r="AB9" s="101"/>
      <c r="AC9" s="100"/>
      <c r="AD9" s="101"/>
    </row>
    <row r="10" spans="1:30" ht="23.1" customHeight="1" thickBot="1" x14ac:dyDescent="0.3">
      <c r="A10" s="102"/>
      <c r="B10" s="103"/>
      <c r="C10" s="102"/>
      <c r="D10" s="103"/>
      <c r="E10" s="102"/>
      <c r="F10" s="103"/>
      <c r="G10" s="102"/>
      <c r="H10" s="103"/>
      <c r="I10" s="102"/>
      <c r="J10" s="103"/>
      <c r="K10" s="102"/>
      <c r="L10" s="103"/>
      <c r="M10" s="87" t="s">
        <v>436</v>
      </c>
      <c r="N10" s="88"/>
      <c r="O10" s="57"/>
      <c r="P10" s="58"/>
      <c r="Q10" s="87" t="s">
        <v>441</v>
      </c>
      <c r="R10" s="88"/>
      <c r="S10" s="102"/>
      <c r="T10" s="103"/>
      <c r="U10" s="102"/>
      <c r="V10" s="103"/>
      <c r="W10" s="102"/>
      <c r="X10" s="103"/>
      <c r="Y10" s="102"/>
      <c r="Z10" s="103"/>
      <c r="AA10" s="102"/>
      <c r="AB10" s="103"/>
      <c r="AC10" s="102"/>
      <c r="AD10" s="103"/>
    </row>
    <row r="11" spans="1:30" ht="23.1" customHeight="1" x14ac:dyDescent="0.25">
      <c r="A11" s="87"/>
      <c r="B11" s="88"/>
      <c r="C11" s="100"/>
      <c r="D11" s="101"/>
      <c r="E11" s="100" t="s">
        <v>441</v>
      </c>
      <c r="F11" s="101"/>
      <c r="G11" s="100"/>
      <c r="H11" s="101"/>
      <c r="I11" s="100" t="s">
        <v>440</v>
      </c>
      <c r="J11" s="101"/>
      <c r="K11" s="100"/>
      <c r="L11" s="101"/>
      <c r="M11" s="89"/>
      <c r="N11" s="90"/>
      <c r="O11" s="89"/>
      <c r="P11" s="90"/>
      <c r="Q11" s="89"/>
      <c r="R11" s="90"/>
      <c r="S11" s="87"/>
      <c r="T11" s="88"/>
      <c r="U11" s="100" t="s">
        <v>441</v>
      </c>
      <c r="V11" s="101"/>
      <c r="W11" s="100"/>
      <c r="X11" s="101"/>
      <c r="Y11" s="100" t="s">
        <v>440</v>
      </c>
      <c r="Z11" s="101"/>
      <c r="AA11" s="100"/>
      <c r="AB11" s="101"/>
      <c r="AC11" s="100"/>
      <c r="AD11" s="101"/>
    </row>
    <row r="12" spans="1:30" ht="23.1" customHeight="1" thickBot="1" x14ac:dyDescent="0.3">
      <c r="A12" s="91"/>
      <c r="B12" s="92"/>
      <c r="C12" s="102"/>
      <c r="D12" s="103"/>
      <c r="E12" s="102"/>
      <c r="F12" s="103"/>
      <c r="G12" s="102"/>
      <c r="H12" s="103"/>
      <c r="I12" s="102"/>
      <c r="J12" s="103"/>
      <c r="K12" s="102"/>
      <c r="L12" s="103"/>
      <c r="M12" s="91"/>
      <c r="N12" s="92"/>
      <c r="O12" s="89"/>
      <c r="P12" s="90"/>
      <c r="Q12" s="91"/>
      <c r="R12" s="92"/>
      <c r="S12" s="91"/>
      <c r="T12" s="92"/>
      <c r="U12" s="102"/>
      <c r="V12" s="103"/>
      <c r="W12" s="102"/>
      <c r="X12" s="103"/>
      <c r="Y12" s="102"/>
      <c r="Z12" s="103"/>
      <c r="AA12" s="102"/>
      <c r="AB12" s="103"/>
      <c r="AC12" s="102"/>
      <c r="AD12" s="103"/>
    </row>
    <row r="13" spans="1:30" ht="23.1" customHeight="1" x14ac:dyDescent="0.25">
      <c r="A13" s="87" t="s">
        <v>347</v>
      </c>
      <c r="B13" s="88"/>
      <c r="C13" s="87" t="s">
        <v>211</v>
      </c>
      <c r="D13" s="88"/>
      <c r="E13" s="87" t="s">
        <v>426</v>
      </c>
      <c r="F13" s="88"/>
      <c r="G13" s="87" t="s">
        <v>212</v>
      </c>
      <c r="H13" s="88"/>
      <c r="I13" s="87" t="s">
        <v>349</v>
      </c>
      <c r="J13" s="88"/>
      <c r="K13" s="52"/>
      <c r="L13" s="22"/>
      <c r="M13" s="22"/>
      <c r="N13" s="22"/>
      <c r="O13" s="59"/>
      <c r="P13" s="59"/>
      <c r="Q13" s="22"/>
      <c r="R13" s="22"/>
      <c r="S13" s="22"/>
      <c r="T13" s="53"/>
      <c r="U13" s="104"/>
      <c r="V13" s="105"/>
      <c r="W13" s="87" t="s">
        <v>212</v>
      </c>
      <c r="X13" s="88"/>
      <c r="Y13" s="87" t="s">
        <v>427</v>
      </c>
      <c r="Z13" s="88"/>
      <c r="AA13" s="87" t="s">
        <v>211</v>
      </c>
      <c r="AB13" s="88"/>
      <c r="AC13" s="87" t="s">
        <v>348</v>
      </c>
      <c r="AD13" s="88"/>
    </row>
    <row r="14" spans="1:30" ht="23.1" customHeight="1" thickBot="1" x14ac:dyDescent="0.3">
      <c r="A14" s="91"/>
      <c r="B14" s="92"/>
      <c r="C14" s="91"/>
      <c r="D14" s="92"/>
      <c r="E14" s="91"/>
      <c r="F14" s="92"/>
      <c r="G14" s="91"/>
      <c r="H14" s="92"/>
      <c r="I14" s="91"/>
      <c r="J14" s="92"/>
      <c r="K14" s="57"/>
      <c r="L14" s="59"/>
      <c r="M14" s="59"/>
      <c r="N14" s="59"/>
      <c r="O14" s="59"/>
      <c r="P14" s="59"/>
      <c r="Q14" s="59"/>
      <c r="R14" s="59"/>
      <c r="S14" s="59"/>
      <c r="T14" s="58"/>
      <c r="U14" s="108"/>
      <c r="V14" s="109"/>
      <c r="W14" s="91"/>
      <c r="X14" s="92"/>
      <c r="Y14" s="91"/>
      <c r="Z14" s="92"/>
      <c r="AA14" s="91"/>
      <c r="AB14" s="92"/>
      <c r="AC14" s="91"/>
      <c r="AD14" s="92"/>
    </row>
    <row r="15" spans="1:30" ht="15.75" thickBot="1" x14ac:dyDescent="0.3"/>
    <row r="16" spans="1:30" ht="23.1" customHeight="1" x14ac:dyDescent="0.25">
      <c r="I16" s="59"/>
      <c r="J16" s="58"/>
      <c r="K16" s="87" t="s">
        <v>218</v>
      </c>
      <c r="L16" s="88"/>
      <c r="M16" s="87" t="s">
        <v>216</v>
      </c>
      <c r="N16" s="88"/>
      <c r="Q16" s="87"/>
      <c r="R16" s="88"/>
      <c r="S16" s="87" t="s">
        <v>218</v>
      </c>
      <c r="T16" s="88"/>
      <c r="U16" s="57"/>
      <c r="V16" s="59"/>
    </row>
    <row r="17" spans="1:30" ht="23.1" customHeight="1" thickBot="1" x14ac:dyDescent="0.3">
      <c r="I17" s="21"/>
      <c r="J17" s="55"/>
      <c r="K17" s="91"/>
      <c r="L17" s="92"/>
      <c r="M17" s="91"/>
      <c r="N17" s="92"/>
      <c r="Q17" s="91"/>
      <c r="R17" s="92"/>
      <c r="S17" s="91"/>
      <c r="T17" s="92"/>
      <c r="U17" s="54"/>
      <c r="V17" s="21"/>
    </row>
    <row r="18" spans="1:30" ht="23.1" customHeight="1" x14ac:dyDescent="0.25">
      <c r="I18" s="87" t="s">
        <v>536</v>
      </c>
      <c r="J18" s="88"/>
      <c r="K18" s="87" t="s">
        <v>213</v>
      </c>
      <c r="L18" s="88"/>
      <c r="M18" s="87"/>
      <c r="N18" s="88"/>
      <c r="Q18" s="87"/>
      <c r="R18" s="88"/>
      <c r="S18" s="87" t="s">
        <v>350</v>
      </c>
      <c r="T18" s="88"/>
      <c r="U18" s="87" t="s">
        <v>537</v>
      </c>
      <c r="V18" s="88"/>
    </row>
    <row r="19" spans="1:30" ht="23.1" customHeight="1" thickBot="1" x14ac:dyDescent="0.3">
      <c r="I19" s="89"/>
      <c r="J19" s="90"/>
      <c r="K19" s="89"/>
      <c r="L19" s="90"/>
      <c r="M19" s="91"/>
      <c r="N19" s="92"/>
      <c r="Q19" s="91"/>
      <c r="R19" s="92"/>
      <c r="S19" s="89"/>
      <c r="T19" s="90"/>
      <c r="U19" s="89"/>
      <c r="V19" s="90"/>
    </row>
    <row r="20" spans="1:30" ht="23.1" customHeight="1" x14ac:dyDescent="0.25">
      <c r="I20" s="89"/>
      <c r="J20" s="90"/>
      <c r="K20" s="89"/>
      <c r="L20" s="90"/>
      <c r="M20" s="104"/>
      <c r="N20" s="105"/>
      <c r="Q20" s="100" t="s">
        <v>213</v>
      </c>
      <c r="R20" s="101"/>
      <c r="S20" s="89"/>
      <c r="T20" s="90"/>
      <c r="U20" s="89"/>
      <c r="V20" s="90"/>
    </row>
    <row r="21" spans="1:30" ht="23.1" customHeight="1" thickBot="1" x14ac:dyDescent="0.3">
      <c r="I21" s="91"/>
      <c r="J21" s="92"/>
      <c r="K21" s="91"/>
      <c r="L21" s="92"/>
      <c r="M21" s="108"/>
      <c r="N21" s="109"/>
      <c r="Q21" s="102"/>
      <c r="R21" s="103"/>
      <c r="S21" s="91"/>
      <c r="T21" s="92"/>
      <c r="U21" s="91"/>
      <c r="V21" s="92"/>
    </row>
    <row r="23" spans="1:30" hidden="1" x14ac:dyDescent="0.25">
      <c r="A23" s="79" t="str">
        <f>"" &amp; A5 &amp; "\n" &amp; A6 &amp; "\n" &amp; B5 &amp; "\n" &amp; B6</f>
        <v>\n\n\n</v>
      </c>
      <c r="B23" s="79"/>
      <c r="C23" s="79" t="str">
        <f t="shared" ref="C23:AC23" si="0">"" &amp; C5 &amp; "\n" &amp; C6 &amp; "\n" &amp; D5 &amp; "\n" &amp; D6</f>
        <v>F1\n\n\n</v>
      </c>
      <c r="D23" s="79"/>
      <c r="E23" s="79" t="str">
        <f t="shared" si="0"/>
        <v>F2\n\n\n</v>
      </c>
      <c r="F23" s="79"/>
      <c r="G23" s="79" t="str">
        <f t="shared" si="0"/>
        <v>F3\n\n\n</v>
      </c>
      <c r="H23" s="79"/>
      <c r="I23" s="79" t="str">
        <f t="shared" si="0"/>
        <v>F4\n\n\n</v>
      </c>
      <c r="J23" s="79"/>
      <c r="K23" s="79" t="str">
        <f t="shared" si="0"/>
        <v>F5\n\n\n</v>
      </c>
      <c r="L23" s="79"/>
      <c r="M23" s="79" t="str">
        <f t="shared" si="0"/>
        <v>F6\n\n\n</v>
      </c>
      <c r="N23" s="79"/>
      <c r="O23"/>
      <c r="P23"/>
      <c r="Q23" s="79" t="str">
        <f t="shared" si="0"/>
        <v>F7\n\n\n</v>
      </c>
      <c r="R23" s="79"/>
      <c r="S23" s="79" t="str">
        <f t="shared" si="0"/>
        <v>F8\n\n\n</v>
      </c>
      <c r="T23" s="79"/>
      <c r="U23" s="79" t="str">
        <f t="shared" si="0"/>
        <v>F9\n\n\n</v>
      </c>
      <c r="V23" s="79"/>
      <c r="W23" s="79" t="str">
        <f t="shared" si="0"/>
        <v>F10\n\n\n</v>
      </c>
      <c r="X23" s="79"/>
      <c r="Y23" s="79" t="str">
        <f t="shared" si="0"/>
        <v>F11\n\n\n</v>
      </c>
      <c r="Z23" s="79"/>
      <c r="AA23" s="79" t="str">
        <f t="shared" si="0"/>
        <v>F12\n\n\n</v>
      </c>
      <c r="AB23" s="79"/>
      <c r="AC23" s="79" t="str">
        <f t="shared" si="0"/>
        <v>\n\n\n</v>
      </c>
      <c r="AD23" s="79"/>
    </row>
    <row r="24" spans="1:30" hidden="1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/>
      <c r="P24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</row>
    <row r="25" spans="1:30" hidden="1" x14ac:dyDescent="0.25">
      <c r="A25" s="79" t="str">
        <f>"" &amp; A7 &amp; "\n" &amp; A8 &amp; "\n" &amp; B7 &amp; "\n" &amp; B8</f>
        <v>\n\n\n</v>
      </c>
      <c r="B25" s="79"/>
      <c r="C25" s="79" t="str">
        <f>"" &amp; C7 &amp; "\n" &amp; C8 &amp; "\n" &amp; D7 &amp; "\n" &amp; D8</f>
        <v>\n\n\n</v>
      </c>
      <c r="D25" s="79"/>
      <c r="E25" s="86" t="str">
        <f>"" &amp; E7 &amp; "\n" &amp; E8 &amp; "\n" &amp; F7 &amp; "\n" &amp; F8</f>
        <v>Debut\n\n\n</v>
      </c>
      <c r="F25" s="86"/>
      <c r="G25" s="86" t="str">
        <f>"" &amp; G7 &amp; "\n" &amp; G8 &amp; "\n" &amp; H7 &amp; "\n" &amp; H8</f>
        <v>Up\n\n\n</v>
      </c>
      <c r="H25" s="86"/>
      <c r="I25" s="79" t="str">
        <f>"" &amp; I7 &amp; "\n" &amp; I8 &amp; "\n" &amp; J7 &amp; "\n" &amp; J8</f>
        <v>Fin\n\n\n</v>
      </c>
      <c r="J25" s="79"/>
      <c r="K25" s="79" t="str">
        <f>"" &amp; K7 &amp; "\n" &amp; K8 &amp; "\n" &amp; L7 &amp; "\n" &amp; L8</f>
        <v>\n\n\n</v>
      </c>
      <c r="L25" s="79"/>
      <c r="M25" s="79" t="str">
        <f>M7</f>
        <v>Inser</v>
      </c>
      <c r="N25" s="79"/>
      <c r="O25"/>
      <c r="P25"/>
      <c r="Q25" s="79" t="str">
        <f>Q7</f>
        <v>Page Suiv</v>
      </c>
      <c r="R25" s="79"/>
      <c r="S25" s="79" t="str">
        <f>"" &amp; S7 &amp; "\n" &amp; S8 &amp; "\n" &amp; T7 &amp; "\n" &amp; T8</f>
        <v>\n\n\n</v>
      </c>
      <c r="T25" s="79"/>
      <c r="U25" s="79" t="str">
        <f>"" &amp; U7 &amp; "\n" &amp; U8 &amp; "\n" &amp; V7 &amp; "\n" &amp; V8</f>
        <v>Debut\n\n\n</v>
      </c>
      <c r="V25" s="79"/>
      <c r="W25" s="79" t="str">
        <f>"" &amp; W7 &amp; "\n" &amp; W8 &amp; "\n" &amp; X7 &amp; "\n" &amp; X8</f>
        <v>Up\n\n\n</v>
      </c>
      <c r="X25" s="79"/>
      <c r="Y25" s="79" t="str">
        <f>"" &amp; Y7 &amp; "\n" &amp; Y8 &amp; "\n" &amp; Z7 &amp; "\n" &amp; Z8</f>
        <v>Fin\n\n\n</v>
      </c>
      <c r="Z25" s="79"/>
      <c r="AA25" s="79" t="str">
        <f>"" &amp; AA7 &amp; "\n" &amp; AA8 &amp; "\n" &amp; AB7 &amp; "\n" &amp; AB8</f>
        <v>\n\n\n</v>
      </c>
      <c r="AB25" s="79"/>
      <c r="AC25" s="79" t="str">
        <f>"" &amp; AC7 &amp; "\n" &amp; AC8 &amp; "\n" &amp; AD7 &amp; "\n" &amp; AD8</f>
        <v>\n\n\n</v>
      </c>
      <c r="AD25" s="79"/>
    </row>
    <row r="26" spans="1:30" hidden="1" x14ac:dyDescent="0.25">
      <c r="A26" s="79"/>
      <c r="B26" s="79"/>
      <c r="C26" s="79"/>
      <c r="D26" s="79"/>
      <c r="E26" s="86"/>
      <c r="F26" s="86"/>
      <c r="G26" s="86"/>
      <c r="H26" s="86"/>
      <c r="I26" s="79"/>
      <c r="J26" s="79"/>
      <c r="K26" s="79"/>
      <c r="L26" s="79"/>
      <c r="M26" s="79"/>
      <c r="N26" s="79"/>
      <c r="O26"/>
      <c r="P26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</row>
    <row r="27" spans="1:30" hidden="1" x14ac:dyDescent="0.25">
      <c r="A27" s="79" t="str">
        <f>"" &amp; A9 &amp; "\n" &amp; A10 &amp; "\n" &amp; B9 &amp; "\n" &amp; B10</f>
        <v>\n\n\n</v>
      </c>
      <c r="B27" s="79"/>
      <c r="C27" s="79" t="str">
        <f>"" &amp; C9 &amp; "\n" &amp; C10 &amp; "\n" &amp; D9 &amp; "\n" &amp; D10</f>
        <v>\n\n\n</v>
      </c>
      <c r="D27" s="79"/>
      <c r="E27" s="79" t="str">
        <f>"" &amp; E9 &amp; "\n" &amp; E10 &amp; "\n" &amp; F9 &amp; "\n" &amp; F10</f>
        <v>Left\n\n\n</v>
      </c>
      <c r="F27" s="79"/>
      <c r="G27" s="79" t="str">
        <f>"" &amp; G9 &amp; "\n" &amp; G10 &amp; "\n" &amp; H9 &amp; "\n" &amp; H10</f>
        <v>Down\n\n\n</v>
      </c>
      <c r="H27" s="79"/>
      <c r="I27" s="79" t="str">
        <f>"" &amp; I9 &amp; "\n" &amp; I10 &amp; "\n" &amp; J9 &amp; "\n" &amp; J10</f>
        <v>Right\n\n\n</v>
      </c>
      <c r="J27" s="79"/>
      <c r="K27" s="79" t="str">
        <f>"" &amp; K9 &amp; "\n" &amp; K10 &amp; "\n" &amp; L9 &amp; "\n" &amp; L10</f>
        <v>\n\n\n</v>
      </c>
      <c r="L27" s="79"/>
      <c r="M27" s="79" t="str">
        <f>M10</f>
        <v>Inser</v>
      </c>
      <c r="N27" s="79"/>
      <c r="O27"/>
      <c r="P27"/>
      <c r="Q27" s="79" t="str">
        <f>Q10</f>
        <v>Page Prec</v>
      </c>
      <c r="R27" s="79"/>
      <c r="S27" s="79" t="str">
        <f>"" &amp; S9 &amp; "\n" &amp; S10 &amp; "\n" &amp; T9 &amp; "\n" &amp; T10</f>
        <v>\n\n\n</v>
      </c>
      <c r="T27" s="79"/>
      <c r="U27" s="79" t="str">
        <f>"" &amp; U9 &amp; "\n" &amp; U10 &amp; "\n" &amp; V9 &amp; "\n" &amp; V10</f>
        <v>Left\n\n\n</v>
      </c>
      <c r="V27" s="79"/>
      <c r="W27" s="79" t="str">
        <f>"" &amp; W9 &amp; "\n" &amp; W10 &amp; "\n" &amp; X9 &amp; "\n" &amp; X10</f>
        <v>Down\n\n\n</v>
      </c>
      <c r="X27" s="79"/>
      <c r="Y27" s="79" t="str">
        <f>"" &amp; Y9 &amp; "\n" &amp; Y10 &amp; "\n" &amp; Z9 &amp; "\n" &amp; Z10</f>
        <v>Right\n\n\n</v>
      </c>
      <c r="Z27" s="79"/>
      <c r="AA27" s="79" t="str">
        <f>"" &amp; AA9 &amp; "\n" &amp; AA10 &amp; "\n" &amp; AB9 &amp; "\n" &amp; AB10</f>
        <v>\n\n\n</v>
      </c>
      <c r="AB27" s="79"/>
      <c r="AC27" s="79" t="str">
        <f>"" &amp; AC9 &amp; "\n" &amp; AC10 &amp; "\n" &amp; AD9 &amp; "\n" &amp; AD10</f>
        <v>\n\n\n</v>
      </c>
      <c r="AD27" s="79"/>
    </row>
    <row r="28" spans="1:30" hidden="1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/>
      <c r="P28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</row>
    <row r="29" spans="1:30" hidden="1" x14ac:dyDescent="0.25">
      <c r="A29" s="79" t="str">
        <f>"" &amp; A11 &amp; "\n" &amp; A12 &amp; "\n" &amp; B11 &amp; "\n" &amp; B12</f>
        <v>\n\n\n</v>
      </c>
      <c r="B29" s="79"/>
      <c r="C29" s="79" t="str">
        <f>"" &amp; C11 &amp; "\n" &amp; C12 &amp; "\n" &amp; D11 &amp; "\n" &amp; D12</f>
        <v>\n\n\n</v>
      </c>
      <c r="D29" s="79"/>
      <c r="E29" s="79" t="str">
        <f>"" &amp; E11 &amp; "\n" &amp; E12 &amp; "\n" &amp; F11 &amp; "\n" &amp; F12</f>
        <v>Page Prec\n\n\n</v>
      </c>
      <c r="F29" s="79"/>
      <c r="G29" s="79" t="str">
        <f>"" &amp; G11 &amp; "\n" &amp; G12 &amp; "\n" &amp; H11 &amp; "\n" &amp; H12</f>
        <v>\n\n\n</v>
      </c>
      <c r="H29" s="79"/>
      <c r="I29" s="79" t="str">
        <f>"" &amp; I11 &amp; "\n" &amp; I12 &amp; "\n" &amp; J11 &amp; "\n" &amp; J12</f>
        <v>Page Suiv\n\n\n</v>
      </c>
      <c r="J29" s="79"/>
      <c r="K29" s="79" t="str">
        <f>"" &amp; K11 &amp; "\n" &amp; K12 &amp; "\n" &amp; L11 &amp; "\n" &amp; L12</f>
        <v>\n\n\n</v>
      </c>
      <c r="L29" s="79"/>
      <c r="M29" s="79"/>
      <c r="N29" s="79"/>
      <c r="O29"/>
      <c r="P29"/>
      <c r="Q29" s="79"/>
      <c r="R29" s="79"/>
      <c r="S29" s="79" t="str">
        <f>"" &amp; S11 &amp; "\n" &amp; S12 &amp; "\n" &amp; T11 &amp; "\n" &amp; T12</f>
        <v>\n\n\n</v>
      </c>
      <c r="T29" s="79"/>
      <c r="U29" s="79" t="str">
        <f>"" &amp; U11 &amp; "\n" &amp; U12 &amp; "\n" &amp; V11 &amp; "\n" &amp; V12</f>
        <v>Page Prec\n\n\n</v>
      </c>
      <c r="V29" s="79"/>
      <c r="W29" s="79" t="str">
        <f>"" &amp; W11 &amp; "\n" &amp; W12 &amp; "\n" &amp; X11 &amp; "\n" &amp; X12</f>
        <v>\n\n\n</v>
      </c>
      <c r="X29" s="79"/>
      <c r="Y29" s="79" t="str">
        <f>"" &amp; Y11 &amp; "\n" &amp; Y12 &amp; "\n" &amp; Z11 &amp; "\n" &amp; Z12</f>
        <v>Page Suiv\n\n\n</v>
      </c>
      <c r="Z29" s="79"/>
      <c r="AA29" s="79" t="str">
        <f>"" &amp; AA11 &amp; "\n" &amp; AA12 &amp; "\n" &amp; AB11 &amp; "\n" &amp; AB12</f>
        <v>\n\n\n</v>
      </c>
      <c r="AB29" s="79"/>
      <c r="AC29" s="79" t="str">
        <f>"" &amp; AC11 &amp; "\n" &amp; AC12 &amp; "\n" &amp; AD11 &amp; "\n" &amp; AD12</f>
        <v>\n\n\n</v>
      </c>
      <c r="AD29" s="79"/>
    </row>
    <row r="30" spans="1:30" hidden="1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/>
      <c r="P30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</row>
    <row r="31" spans="1:30" hidden="1" x14ac:dyDescent="0.25">
      <c r="A31" s="79" t="str">
        <f>"" &amp; A13 &amp; "\n" &amp; A14 &amp; "\n" &amp; B13 &amp; "\n" &amp; B14</f>
        <v>CtrlG\n\n\n</v>
      </c>
      <c r="B31" s="79"/>
      <c r="C31" s="79" t="str">
        <f>"" &amp; C13 &amp; "\n" &amp; C14 &amp; "\n" &amp; D13 &amp; "\n" &amp; D14</f>
        <v>Alt\n\n\n</v>
      </c>
      <c r="D31" s="79"/>
      <c r="E31" s="79" t="str">
        <f>"" &amp; E13 &amp; "\n" &amp; E14 &amp; "\n" &amp; F13 &amp; "\n" &amp; F14</f>
        <v>GUIL\n\n\n</v>
      </c>
      <c r="F31" s="79"/>
      <c r="G31" s="79" t="str">
        <f>"" &amp; G13 &amp; "\n" &amp; G14 &amp; "\n" &amp; H13 &amp; "\n" &amp; H14</f>
        <v>Alt Gr\n\n\n</v>
      </c>
      <c r="H31" s="79"/>
      <c r="I31" s="79" t="str">
        <f>"" &amp; I13 &amp; "\n" &amp; I14 &amp; "\n" &amp; J13 &amp; "\n" &amp; J14</f>
        <v>ShiftG\n\n\n</v>
      </c>
      <c r="J31" s="79"/>
      <c r="K31" s="79"/>
      <c r="L31" s="79"/>
      <c r="M31" s="79"/>
      <c r="N31" s="79"/>
      <c r="O31"/>
      <c r="P31"/>
      <c r="Q31" s="79"/>
      <c r="R31" s="79"/>
      <c r="S31" s="79"/>
      <c r="T31" s="79"/>
      <c r="U31" s="79" t="str">
        <f>"" &amp; U13 &amp; "\n" &amp; U14 &amp; "\n" &amp; V13 &amp; "\n" &amp; V14</f>
        <v>\n\n\n</v>
      </c>
      <c r="V31" s="79"/>
      <c r="W31" s="79" t="str">
        <f>"" &amp; W13 &amp; "\n" &amp; W14 &amp; "\n" &amp; X13 &amp; "\n" &amp; X14</f>
        <v>Alt Gr\n\n\n</v>
      </c>
      <c r="X31" s="79"/>
      <c r="Y31" s="79" t="str">
        <f>"" &amp; Y13 &amp; "\n" &amp; Y14 &amp; "\n" &amp; Z13 &amp; "\n" &amp; Z14</f>
        <v>GUID\n\n\n</v>
      </c>
      <c r="Z31" s="79"/>
      <c r="AA31" s="79" t="str">
        <f>"" &amp; AA13 &amp; "\n" &amp; AA14 &amp; "\n" &amp; AB13 &amp; "\n" &amp; AB14</f>
        <v>Alt\n\n\n</v>
      </c>
      <c r="AB31" s="79"/>
      <c r="AC31" s="79" t="str">
        <f>"" &amp; AC13 &amp; "\n" &amp; AC14 &amp; "\n" &amp; AD13 &amp; "\n" &amp; AD14</f>
        <v>CtrlD\n\n\n</v>
      </c>
      <c r="AD31" s="79"/>
    </row>
    <row r="32" spans="1:30" hidden="1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</row>
    <row r="33" spans="1:36" hidden="1" x14ac:dyDescent="0.25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6" ht="15.75" thickBot="1" x14ac:dyDescent="0.3"/>
    <row r="35" spans="1:36" ht="15.75" thickBot="1" x14ac:dyDescent="0.3">
      <c r="A35" s="80" t="s">
        <v>594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2"/>
      <c r="P35" s="83" t="s">
        <v>595</v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5"/>
    </row>
    <row r="36" spans="1:36" x14ac:dyDescent="0.25">
      <c r="A36" s="25" t="str">
        <f>"[{x:3.5},"""&amp;G23&amp;""",{x:10.5},"""&amp;W23&amp;"""],"</f>
        <v>[{x:3.5},"F3\n\n\n",{x:10.5},"F10\n\n\n"],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76" t="s">
        <v>632</v>
      </c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8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[{y:-0.875,x:2.5},"F2\n\n\n",{x:1},"F4\n\n\n",{x:8.5},"F9\n\n\n",{x:1},"F11\n\n\n"],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70" t="s">
        <v>45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2"/>
    </row>
    <row r="38" spans="1:36" x14ac:dyDescent="0.25">
      <c r="A38" s="25" t="str">
        <f>"[{y:-0.875,x:5.5},""" &amp; K23 &amp; """,""" &amp; M23 &amp;""",{x:4.5},"""&amp; Q23 &amp; """,""" &amp; S23 &amp; """],"</f>
        <v>[{y:-0.875,x:5.5},"F5\n\n\n","F6\n\n\n",{x:4.5},"F7\n\n\n","F8\n\n\n"],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70" t="s">
        <v>567</v>
      </c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2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[{y:-0.875,w:1.5},"\n\n\n","F1\n\n\n",{x:14.5},"F12\n\n\n",{w:1.5},"\n\n\n"],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70" t="s">
        <v>635</v>
      </c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2"/>
    </row>
    <row r="40" spans="1:36" x14ac:dyDescent="0.25">
      <c r="A40" s="25" t="str">
        <f>"[{y:-0.375,x:3.5},""" &amp; G25 &amp; """,{x:10.5},""" &amp; W25&amp;"""],"</f>
        <v>[{y:-0.375,x:3.5},"Up\n\n\n",{x:10.5},"Up\n\n\n"],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70" t="s">
        <v>598</v>
      </c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2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[{y:-0.875,x:2.5},"Debut\n\n\n",{x:1},"Fin\n\n\n",{x:8.5},"Debut\n\n\n",{x:1},"Fin\n\n\n"],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70" t="s">
        <v>691</v>
      </c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2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,{h:1.5},"Inser",{x:4.5,h:1.5},"Page Suiv","\n\n\n"],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70" t="s">
        <v>568</v>
      </c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2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70" t="s">
        <v>638</v>
      </c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2"/>
    </row>
    <row r="44" spans="1:36" x14ac:dyDescent="0.25">
      <c r="A44" s="25" t="str">
        <f>"[{y:-0.375,x:3.5},""" &amp; G27&amp; """,{x:10.5},""" &amp; W27&amp; """],"</f>
        <v>[{y:-0.375,x:3.5},"Down\n\n\n",{x:10.5},"Down\n\n\n"],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70" t="s">
        <v>568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2"/>
    </row>
    <row r="45" spans="1:36" x14ac:dyDescent="0.25">
      <c r="A45" s="25" t="str">
        <f>"[{y:-0.875,x:2.5},""" &amp;E27&amp; """,{x:1},""" &amp;I27&amp; """,{x:8.5},""" &amp;U27&amp; """,{x:1},""" &amp;Y27&amp; """],"</f>
        <v>[{y:-0.875,x:2.5},"Left\n\n\n",{x:1},"Right\n\n\n",{x:8.5},"Left\n\n\n",{x:1},"Right\n\n\n"],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70" t="s">
        <v>694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2"/>
    </row>
    <row r="46" spans="1:36" x14ac:dyDescent="0.25">
      <c r="A46" s="25" t="str">
        <f>"[{y:-0.875,x:5.5},""" &amp; K27 &amp;""",{x:6.5},""" &amp; S27 &amp; """],"</f>
        <v>[{y:-0.875,x:5.5},"\n\n\n",{x:6.5},"\n\n\n"],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70" t="s">
        <v>569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2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70" t="s">
        <v>697</v>
      </c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2"/>
    </row>
    <row r="48" spans="1:36" x14ac:dyDescent="0.25">
      <c r="A48" s="25" t="str">
        <f>"[{y:-0.625,x:6.5,h:1.5},""" &amp; M27 &amp; """,{x:4.5,h:1.5},""" &amp; Q27 &amp; """],"</f>
        <v>[{y:-0.625,x:6.5,h:1.5},"Inser",{x:4.5,h:1.5},"Page Prec"],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70" t="s">
        <v>570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2"/>
    </row>
    <row r="49" spans="1:36" x14ac:dyDescent="0.25">
      <c r="A49" s="25" t="str">
        <f>"[{y:-0.75,x:3.5},""" &amp; G29 &amp; """,{x:10.5},""" &amp; W29 &amp; """],"</f>
        <v>[{y:-0.75,x:3.5},"\n\n\n",{x:10.5},"\n\n\n"],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70" t="s">
        <v>571</v>
      </c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2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[{y:-0.875,x:2.5},"Page Prec\n\n\n",{x:1},"Page Suiv\n\n\n",{x:8.5},"Page Prec\n\n\n",{x:1},"Page Suiv\n\n\n"],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70" t="s">
        <v>641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2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70" t="s">
        <v>600</v>
      </c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2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70" t="s">
        <v>601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2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70" t="s">
        <v>602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2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70" t="s">
        <v>699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2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70" t="s">
        <v>603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2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70" t="s">
        <v>572</v>
      </c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2"/>
    </row>
    <row r="57" spans="1:36" x14ac:dyDescent="0.25">
      <c r="A57" s="25" t="str">
        <f>"[{h:2},""" &amp;I18&amp; """,{h:2},""" &amp;K18&amp; """,""" &amp;M18&amp; """],"</f>
        <v>[{h:2},"DeroulG",{h:2},"Fn1",""],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70" t="s">
        <v>633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2"/>
    </row>
    <row r="58" spans="1:36" x14ac:dyDescent="0.25">
      <c r="A58" s="25" t="str">
        <f>"[{x:2},""" &amp;M20&amp;"""],"</f>
        <v>[{x:2},""],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70" t="s">
        <v>573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2"/>
    </row>
    <row r="59" spans="1:36" x14ac:dyDescent="0.25">
      <c r="A59" s="25" t="str">
        <f>"[{r:-30,rx:13,y:-1,x:-3},""" &amp; Q16 &amp; """,""" &amp; S16 &amp; """],"</f>
        <v>[{r:-30,rx:13,y:-1,x:-3},"","Fn3"],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70" t="s">
        <v>634</v>
      </c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2"/>
    </row>
    <row r="60" spans="1:36" x14ac:dyDescent="0.25">
      <c r="A60" s="25" t="str">
        <f>"[{x:-3},""" &amp;Q18&amp; """,{h:2},""" &amp;S18&amp; """,{h:2},""" &amp;U18&amp; """],"</f>
        <v>[{x:-3},"",{h:2},"ShiftD",{h:2},"DeroulD"],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70" t="s">
        <v>690</v>
      </c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2"/>
    </row>
    <row r="61" spans="1:36" ht="15.75" thickBot="1" x14ac:dyDescent="0.3">
      <c r="A61" s="28" t="str">
        <f>"[{x:-3},"""&amp;Q20&amp;"""]"</f>
        <v>[{x:-3},"Fn1"]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70" t="s">
        <v>637</v>
      </c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2"/>
    </row>
    <row r="62" spans="1:36" x14ac:dyDescent="0.25">
      <c r="P62" s="70" t="s">
        <v>693</v>
      </c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2"/>
    </row>
    <row r="63" spans="1:36" x14ac:dyDescent="0.25">
      <c r="P63" s="70" t="s">
        <v>729</v>
      </c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2"/>
    </row>
    <row r="64" spans="1:36" x14ac:dyDescent="0.25">
      <c r="P64" s="70" t="s">
        <v>640</v>
      </c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2"/>
    </row>
    <row r="65" spans="16:36" x14ac:dyDescent="0.25">
      <c r="P65" s="70" t="s">
        <v>611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2"/>
    </row>
    <row r="66" spans="16:36" x14ac:dyDescent="0.25">
      <c r="P66" s="70" t="s">
        <v>698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2"/>
    </row>
    <row r="67" spans="16:36" x14ac:dyDescent="0.25">
      <c r="P67" s="70" t="s">
        <v>574</v>
      </c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2"/>
    </row>
    <row r="68" spans="16:36" x14ac:dyDescent="0.25">
      <c r="P68" s="70" t="s">
        <v>636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2"/>
    </row>
    <row r="69" spans="16:36" x14ac:dyDescent="0.25">
      <c r="P69" s="70" t="s">
        <v>692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2"/>
    </row>
    <row r="70" spans="16:36" x14ac:dyDescent="0.25">
      <c r="P70" s="70" t="s">
        <v>639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2"/>
    </row>
    <row r="71" spans="16:36" x14ac:dyDescent="0.25">
      <c r="P71" s="70" t="s">
        <v>695</v>
      </c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2"/>
    </row>
    <row r="72" spans="16:36" x14ac:dyDescent="0.25">
      <c r="P72" s="70" t="s">
        <v>731</v>
      </c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2"/>
    </row>
    <row r="73" spans="16:36" x14ac:dyDescent="0.25">
      <c r="P73" s="70" t="s">
        <v>642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2"/>
    </row>
    <row r="74" spans="16:36" x14ac:dyDescent="0.25">
      <c r="P74" s="70" t="s">
        <v>612</v>
      </c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2"/>
    </row>
    <row r="75" spans="16:36" x14ac:dyDescent="0.25">
      <c r="P75" s="70" t="s">
        <v>700</v>
      </c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2"/>
    </row>
    <row r="76" spans="16:36" ht="15.75" thickBot="1" x14ac:dyDescent="0.3">
      <c r="P76" s="73" t="s">
        <v>581</v>
      </c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5"/>
    </row>
  </sheetData>
  <mergeCells count="192"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</mergeCells>
  <hyperlinks>
    <hyperlink ref="A35" r:id="rId1" display="http://www.keyboard-layout-editor.com" xr:uid="{00000000-0004-0000-02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pageSetUpPr fitToPage="1"/>
  </sheetPr>
  <dimension ref="A1:AJ76"/>
  <sheetViews>
    <sheetView topLeftCell="A3" zoomScale="85" zoomScaleNormal="85" workbookViewId="0">
      <selection activeCell="AB21" sqref="AB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89" t="s">
        <v>648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0"/>
    </row>
    <row r="2" spans="1:30" ht="23.1" hidden="1" customHeight="1" thickBot="1" x14ac:dyDescent="0.3">
      <c r="A2" s="8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0"/>
    </row>
    <row r="3" spans="1:30" ht="23.1" customHeight="1" x14ac:dyDescent="0.25">
      <c r="A3" s="89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0"/>
    </row>
    <row r="4" spans="1:30" ht="23.1" customHeight="1" thickBot="1" x14ac:dyDescent="0.3">
      <c r="A4" s="89" t="s">
        <v>720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0"/>
    </row>
    <row r="5" spans="1:30" ht="23.1" customHeight="1" x14ac:dyDescent="0.25">
      <c r="A5" s="100"/>
      <c r="B5" s="101"/>
      <c r="C5" s="100"/>
      <c r="D5" s="101"/>
      <c r="E5" s="100"/>
      <c r="F5" s="101"/>
      <c r="G5" s="100"/>
      <c r="H5" s="101"/>
      <c r="I5" s="100"/>
      <c r="J5" s="101"/>
      <c r="K5" s="100"/>
      <c r="L5" s="101"/>
      <c r="M5" s="100" t="s">
        <v>513</v>
      </c>
      <c r="N5" s="101"/>
      <c r="O5" s="57"/>
      <c r="P5" s="58"/>
      <c r="Q5" s="87" t="s">
        <v>512</v>
      </c>
      <c r="R5" s="88"/>
      <c r="S5" s="100"/>
      <c r="T5" s="101"/>
      <c r="U5" s="100"/>
      <c r="V5" s="101"/>
      <c r="W5" s="100"/>
      <c r="X5" s="101"/>
      <c r="Y5" s="100"/>
      <c r="Z5" s="101"/>
      <c r="AA5" s="100"/>
      <c r="AB5" s="101"/>
      <c r="AC5" s="100"/>
      <c r="AD5" s="101"/>
    </row>
    <row r="6" spans="1:30" ht="23.1" customHeight="1" thickBot="1" x14ac:dyDescent="0.3">
      <c r="A6" s="102"/>
      <c r="B6" s="103"/>
      <c r="C6" s="102"/>
      <c r="D6" s="103"/>
      <c r="E6" s="102"/>
      <c r="F6" s="103"/>
      <c r="G6" s="102"/>
      <c r="H6" s="103"/>
      <c r="I6" s="102"/>
      <c r="J6" s="103"/>
      <c r="K6" s="102"/>
      <c r="L6" s="103"/>
      <c r="M6" s="102"/>
      <c r="N6" s="103"/>
      <c r="O6" s="57"/>
      <c r="P6" s="58"/>
      <c r="Q6" s="91"/>
      <c r="R6" s="92"/>
      <c r="S6" s="102"/>
      <c r="T6" s="103"/>
      <c r="U6" s="102"/>
      <c r="V6" s="103"/>
      <c r="W6" s="102"/>
      <c r="X6" s="103"/>
      <c r="Y6" s="102"/>
      <c r="Z6" s="103"/>
      <c r="AA6" s="102"/>
      <c r="AB6" s="103"/>
      <c r="AC6" s="102"/>
      <c r="AD6" s="103"/>
    </row>
    <row r="7" spans="1:30" ht="23.1" customHeight="1" x14ac:dyDescent="0.25">
      <c r="A7" s="100"/>
      <c r="B7" s="101"/>
      <c r="C7" s="100"/>
      <c r="D7" s="101"/>
      <c r="E7" s="100"/>
      <c r="F7" s="101"/>
      <c r="G7" s="100" t="s">
        <v>361</v>
      </c>
      <c r="H7" s="101"/>
      <c r="I7" s="100"/>
      <c r="J7" s="101"/>
      <c r="K7" s="100" t="s">
        <v>534</v>
      </c>
      <c r="L7" s="101"/>
      <c r="M7" s="87" t="s">
        <v>509</v>
      </c>
      <c r="N7" s="88"/>
      <c r="O7" s="57"/>
      <c r="P7" s="58"/>
      <c r="Q7" s="87" t="s">
        <v>504</v>
      </c>
      <c r="R7" s="88"/>
      <c r="S7" s="100"/>
      <c r="T7" s="101"/>
      <c r="U7" s="100"/>
      <c r="V7" s="101"/>
      <c r="W7" s="100"/>
      <c r="X7" s="101"/>
      <c r="Y7" s="100"/>
      <c r="Z7" s="101"/>
      <c r="AA7" s="100"/>
      <c r="AB7" s="101"/>
      <c r="AC7" s="100"/>
      <c r="AD7" s="101"/>
    </row>
    <row r="8" spans="1:30" ht="23.1" customHeight="1" thickBot="1" x14ac:dyDescent="0.3">
      <c r="A8" s="102"/>
      <c r="B8" s="103"/>
      <c r="C8" s="102"/>
      <c r="D8" s="103"/>
      <c r="E8" s="102"/>
      <c r="F8" s="103"/>
      <c r="G8" s="102"/>
      <c r="H8" s="103"/>
      <c r="I8" s="102"/>
      <c r="J8" s="103"/>
      <c r="K8" s="102"/>
      <c r="L8" s="103"/>
      <c r="M8" s="89"/>
      <c r="N8" s="90"/>
      <c r="O8" s="57"/>
      <c r="P8" s="58"/>
      <c r="Q8" s="89"/>
      <c r="R8" s="90"/>
      <c r="S8" s="102"/>
      <c r="T8" s="103"/>
      <c r="U8" s="102"/>
      <c r="V8" s="103"/>
      <c r="W8" s="102"/>
      <c r="X8" s="103"/>
      <c r="Y8" s="102"/>
      <c r="Z8" s="103"/>
      <c r="AA8" s="102"/>
      <c r="AB8" s="103"/>
      <c r="AC8" s="102"/>
      <c r="AD8" s="103"/>
    </row>
    <row r="9" spans="1:30" ht="23.1" customHeight="1" thickBot="1" x14ac:dyDescent="0.3">
      <c r="A9" s="100" t="s">
        <v>544</v>
      </c>
      <c r="B9" s="101"/>
      <c r="C9" s="100"/>
      <c r="D9" s="101"/>
      <c r="E9" s="100" t="s">
        <v>362</v>
      </c>
      <c r="F9" s="101"/>
      <c r="G9" s="100" t="s">
        <v>363</v>
      </c>
      <c r="H9" s="101"/>
      <c r="I9" s="100" t="s">
        <v>364</v>
      </c>
      <c r="J9" s="101"/>
      <c r="K9" s="100" t="s">
        <v>535</v>
      </c>
      <c r="L9" s="101"/>
      <c r="M9" s="91"/>
      <c r="N9" s="92"/>
      <c r="O9" s="57"/>
      <c r="P9" s="58"/>
      <c r="Q9" s="91"/>
      <c r="R9" s="92"/>
      <c r="S9" s="100"/>
      <c r="T9" s="101"/>
      <c r="U9" s="100" t="s">
        <v>365</v>
      </c>
      <c r="V9" s="101"/>
      <c r="W9" s="100" t="s">
        <v>366</v>
      </c>
      <c r="X9" s="101"/>
      <c r="Y9" s="100"/>
      <c r="Z9" s="101"/>
      <c r="AA9" s="100"/>
      <c r="AB9" s="101"/>
      <c r="AC9" s="100"/>
      <c r="AD9" s="101"/>
    </row>
    <row r="10" spans="1:30" ht="23.1" customHeight="1" thickBot="1" x14ac:dyDescent="0.3">
      <c r="A10" s="102"/>
      <c r="B10" s="103"/>
      <c r="C10" s="102"/>
      <c r="D10" s="103"/>
      <c r="E10" s="102"/>
      <c r="F10" s="103"/>
      <c r="G10" s="102"/>
      <c r="H10" s="103"/>
      <c r="I10" s="102"/>
      <c r="J10" s="103"/>
      <c r="K10" s="102"/>
      <c r="L10" s="103"/>
      <c r="M10" s="87" t="s">
        <v>510</v>
      </c>
      <c r="N10" s="88"/>
      <c r="O10" s="57"/>
      <c r="P10" s="58"/>
      <c r="Q10" s="87" t="s">
        <v>518</v>
      </c>
      <c r="R10" s="88"/>
      <c r="S10" s="102"/>
      <c r="T10" s="103"/>
      <c r="U10" s="102"/>
      <c r="V10" s="103"/>
      <c r="W10" s="102"/>
      <c r="X10" s="103"/>
      <c r="Y10" s="102"/>
      <c r="Z10" s="103"/>
      <c r="AA10" s="102"/>
      <c r="AB10" s="103"/>
      <c r="AC10" s="102"/>
      <c r="AD10" s="103"/>
    </row>
    <row r="11" spans="1:30" ht="23.1" customHeight="1" x14ac:dyDescent="0.25">
      <c r="A11" s="87" t="s">
        <v>543</v>
      </c>
      <c r="B11" s="88"/>
      <c r="C11" s="100"/>
      <c r="D11" s="101"/>
      <c r="E11" s="100" t="s">
        <v>536</v>
      </c>
      <c r="F11" s="101"/>
      <c r="G11" s="100"/>
      <c r="H11" s="101"/>
      <c r="I11" s="100" t="s">
        <v>537</v>
      </c>
      <c r="J11" s="101"/>
      <c r="K11" s="100"/>
      <c r="L11" s="101"/>
      <c r="M11" s="89"/>
      <c r="N11" s="90"/>
      <c r="O11" s="89"/>
      <c r="P11" s="90"/>
      <c r="Q11" s="89"/>
      <c r="R11" s="90"/>
      <c r="S11" s="87"/>
      <c r="T11" s="88"/>
      <c r="U11" s="100"/>
      <c r="V11" s="101"/>
      <c r="W11" s="100"/>
      <c r="X11" s="101"/>
      <c r="Y11" s="100"/>
      <c r="Z11" s="101"/>
      <c r="AA11" s="100"/>
      <c r="AB11" s="101"/>
      <c r="AC11" s="100"/>
      <c r="AD11" s="101"/>
    </row>
    <row r="12" spans="1:30" ht="23.1" customHeight="1" thickBot="1" x14ac:dyDescent="0.3">
      <c r="A12" s="91"/>
      <c r="B12" s="92"/>
      <c r="C12" s="102"/>
      <c r="D12" s="103"/>
      <c r="E12" s="102"/>
      <c r="F12" s="103"/>
      <c r="G12" s="102"/>
      <c r="H12" s="103"/>
      <c r="I12" s="102"/>
      <c r="J12" s="103"/>
      <c r="K12" s="102"/>
      <c r="L12" s="103"/>
      <c r="M12" s="91"/>
      <c r="N12" s="92"/>
      <c r="O12" s="89"/>
      <c r="P12" s="90"/>
      <c r="Q12" s="91"/>
      <c r="R12" s="92"/>
      <c r="S12" s="91"/>
      <c r="T12" s="92"/>
      <c r="U12" s="102"/>
      <c r="V12" s="103"/>
      <c r="W12" s="102"/>
      <c r="X12" s="103"/>
      <c r="Y12" s="102"/>
      <c r="Z12" s="103"/>
      <c r="AA12" s="102"/>
      <c r="AB12" s="103"/>
      <c r="AC12" s="102"/>
      <c r="AD12" s="103"/>
    </row>
    <row r="13" spans="1:30" ht="23.1" customHeight="1" x14ac:dyDescent="0.25">
      <c r="A13" s="87" t="s">
        <v>542</v>
      </c>
      <c r="B13" s="88"/>
      <c r="C13" s="87" t="s">
        <v>211</v>
      </c>
      <c r="D13" s="88"/>
      <c r="E13" s="87" t="s">
        <v>426</v>
      </c>
      <c r="F13" s="88"/>
      <c r="G13" s="87" t="s">
        <v>212</v>
      </c>
      <c r="H13" s="88"/>
      <c r="I13" s="87" t="s">
        <v>349</v>
      </c>
      <c r="J13" s="88"/>
      <c r="K13" s="52"/>
      <c r="L13" s="22"/>
      <c r="M13" s="22"/>
      <c r="N13" s="22"/>
      <c r="O13" s="59"/>
      <c r="P13" s="59"/>
      <c r="Q13" s="22"/>
      <c r="R13" s="22"/>
      <c r="S13" s="22"/>
      <c r="T13" s="53"/>
      <c r="U13" s="87" t="s">
        <v>217</v>
      </c>
      <c r="V13" s="88"/>
      <c r="W13" s="100" t="s">
        <v>438</v>
      </c>
      <c r="X13" s="101"/>
      <c r="Y13" s="87" t="s">
        <v>427</v>
      </c>
      <c r="Z13" s="88"/>
      <c r="AA13" s="87" t="s">
        <v>211</v>
      </c>
      <c r="AB13" s="88"/>
      <c r="AC13" s="87" t="s">
        <v>348</v>
      </c>
      <c r="AD13" s="88"/>
    </row>
    <row r="14" spans="1:30" ht="23.1" customHeight="1" thickBot="1" x14ac:dyDescent="0.3">
      <c r="A14" s="91"/>
      <c r="B14" s="92"/>
      <c r="C14" s="91"/>
      <c r="D14" s="92"/>
      <c r="E14" s="91"/>
      <c r="F14" s="92"/>
      <c r="G14" s="91"/>
      <c r="H14" s="92"/>
      <c r="I14" s="91"/>
      <c r="J14" s="92"/>
      <c r="K14" s="57"/>
      <c r="L14" s="59"/>
      <c r="M14" s="59"/>
      <c r="N14" s="59"/>
      <c r="O14" s="59"/>
      <c r="P14" s="59"/>
      <c r="Q14" s="59"/>
      <c r="R14" s="59"/>
      <c r="S14" s="59"/>
      <c r="T14" s="58"/>
      <c r="U14" s="91"/>
      <c r="V14" s="92"/>
      <c r="W14" s="102"/>
      <c r="X14" s="103"/>
      <c r="Y14" s="91"/>
      <c r="Z14" s="92"/>
      <c r="AA14" s="91"/>
      <c r="AB14" s="92"/>
      <c r="AC14" s="91"/>
      <c r="AD14" s="92"/>
    </row>
    <row r="15" spans="1:30" ht="15.75" thickBot="1" x14ac:dyDescent="0.3"/>
    <row r="16" spans="1:30" ht="23.1" customHeight="1" x14ac:dyDescent="0.25">
      <c r="I16" s="59"/>
      <c r="J16" s="58"/>
      <c r="K16" s="104"/>
      <c r="L16" s="105"/>
      <c r="M16" s="87"/>
      <c r="N16" s="88"/>
      <c r="Q16" s="87"/>
      <c r="R16" s="88"/>
      <c r="S16" s="100"/>
      <c r="T16" s="101"/>
      <c r="U16" s="57"/>
      <c r="V16" s="59"/>
    </row>
    <row r="17" spans="1:30" ht="23.1" customHeight="1" thickBot="1" x14ac:dyDescent="0.3">
      <c r="G17" s="61"/>
      <c r="I17" s="21"/>
      <c r="J17" s="55"/>
      <c r="K17" s="108"/>
      <c r="L17" s="109"/>
      <c r="M17" s="91"/>
      <c r="N17" s="92"/>
      <c r="Q17" s="91"/>
      <c r="R17" s="92"/>
      <c r="S17" s="102"/>
      <c r="T17" s="103"/>
      <c r="U17" s="54"/>
      <c r="V17" s="21"/>
    </row>
    <row r="18" spans="1:30" ht="23.1" customHeight="1" x14ac:dyDescent="0.25">
      <c r="I18" s="87" t="s">
        <v>506</v>
      </c>
      <c r="J18" s="88"/>
      <c r="K18" s="87" t="s">
        <v>506</v>
      </c>
      <c r="L18" s="88"/>
      <c r="M18" s="87"/>
      <c r="N18" s="88"/>
      <c r="Q18" s="87"/>
      <c r="R18" s="88"/>
      <c r="S18" s="87" t="s">
        <v>506</v>
      </c>
      <c r="T18" s="88"/>
      <c r="U18" s="87" t="s">
        <v>506</v>
      </c>
      <c r="V18" s="88"/>
    </row>
    <row r="19" spans="1:30" ht="23.1" customHeight="1" thickBot="1" x14ac:dyDescent="0.3">
      <c r="I19" s="89"/>
      <c r="J19" s="90"/>
      <c r="K19" s="89"/>
      <c r="L19" s="90"/>
      <c r="M19" s="91"/>
      <c r="N19" s="92"/>
      <c r="Q19" s="91"/>
      <c r="R19" s="92"/>
      <c r="S19" s="89"/>
      <c r="T19" s="90"/>
      <c r="U19" s="89"/>
      <c r="V19" s="90"/>
    </row>
    <row r="20" spans="1:30" ht="23.1" customHeight="1" x14ac:dyDescent="0.25">
      <c r="I20" s="89"/>
      <c r="J20" s="90"/>
      <c r="K20" s="89"/>
      <c r="L20" s="90"/>
      <c r="M20" s="87" t="s">
        <v>217</v>
      </c>
      <c r="N20" s="88"/>
      <c r="Q20" s="100" t="s">
        <v>213</v>
      </c>
      <c r="R20" s="101"/>
      <c r="S20" s="89"/>
      <c r="T20" s="90"/>
      <c r="U20" s="89"/>
      <c r="V20" s="90"/>
    </row>
    <row r="21" spans="1:30" ht="23.1" customHeight="1" thickBot="1" x14ac:dyDescent="0.3">
      <c r="I21" s="91"/>
      <c r="J21" s="92"/>
      <c r="K21" s="91"/>
      <c r="L21" s="92"/>
      <c r="M21" s="91"/>
      <c r="N21" s="92"/>
      <c r="Q21" s="102"/>
      <c r="R21" s="103"/>
      <c r="S21" s="91"/>
      <c r="T21" s="92"/>
      <c r="U21" s="91"/>
      <c r="V21" s="92"/>
    </row>
    <row r="23" spans="1:30" hidden="1" x14ac:dyDescent="0.25">
      <c r="A23" s="79" t="str">
        <f>"" &amp; A5 &amp; "\n" &amp; A6 &amp; "\n" &amp; B5 &amp; "\n" &amp; B6</f>
        <v>\n\n\n</v>
      </c>
      <c r="B23" s="79"/>
      <c r="C23" s="79" t="str">
        <f t="shared" ref="C23:AC23" si="0">"" &amp; C5 &amp; "\n" &amp; C6 &amp; "\n" &amp; D5 &amp; "\n" &amp; D6</f>
        <v>\n\n\n</v>
      </c>
      <c r="D23" s="79"/>
      <c r="E23" s="79" t="str">
        <f t="shared" si="0"/>
        <v>\n\n\n</v>
      </c>
      <c r="F23" s="79"/>
      <c r="G23" s="79" t="str">
        <f t="shared" si="0"/>
        <v>\n\n\n</v>
      </c>
      <c r="H23" s="79"/>
      <c r="I23" s="79" t="str">
        <f t="shared" si="0"/>
        <v>\n\n\n</v>
      </c>
      <c r="J23" s="79"/>
      <c r="K23" s="79" t="str">
        <f t="shared" si="0"/>
        <v>\n\n\n</v>
      </c>
      <c r="L23" s="79"/>
      <c r="M23" s="79" t="str">
        <f t="shared" si="0"/>
        <v>Titre -\n\n\n</v>
      </c>
      <c r="N23" s="79"/>
      <c r="O23"/>
      <c r="P23"/>
      <c r="Q23" s="79" t="str">
        <f t="shared" si="0"/>
        <v>Titre +\n\n\n</v>
      </c>
      <c r="R23" s="79"/>
      <c r="S23" s="79" t="str">
        <f t="shared" si="0"/>
        <v>\n\n\n</v>
      </c>
      <c r="T23" s="79"/>
      <c r="U23" s="79" t="str">
        <f t="shared" si="0"/>
        <v>\n\n\n</v>
      </c>
      <c r="V23" s="79"/>
      <c r="W23" s="79" t="str">
        <f t="shared" si="0"/>
        <v>\n\n\n</v>
      </c>
      <c r="X23" s="79"/>
      <c r="Y23" s="79" t="str">
        <f t="shared" si="0"/>
        <v>\n\n\n</v>
      </c>
      <c r="Z23" s="79"/>
      <c r="AA23" s="79" t="str">
        <f t="shared" si="0"/>
        <v>\n\n\n</v>
      </c>
      <c r="AB23" s="79"/>
      <c r="AC23" s="79" t="str">
        <f t="shared" si="0"/>
        <v>\n\n\n</v>
      </c>
      <c r="AD23" s="79"/>
    </row>
    <row r="24" spans="1:30" hidden="1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/>
      <c r="P24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</row>
    <row r="25" spans="1:30" hidden="1" x14ac:dyDescent="0.25">
      <c r="A25" s="79" t="str">
        <f>"" &amp; A7 &amp; "\n" &amp; A8 &amp; "\n" &amp; B7 &amp; "\n" &amp; B8</f>
        <v>\n\n\n</v>
      </c>
      <c r="B25" s="79"/>
      <c r="C25" s="79" t="str">
        <f>"" &amp; C7 &amp; "\n" &amp; C8 &amp; "\n" &amp; D7 &amp; "\n" &amp; D8</f>
        <v>\n\n\n</v>
      </c>
      <c r="D25" s="79"/>
      <c r="E25" s="86" t="str">
        <f>"" &amp; E7 &amp; "\n" &amp; E8 &amp; "\n" &amp; F7 &amp; "\n" &amp; F8</f>
        <v>\n\n\n</v>
      </c>
      <c r="F25" s="86"/>
      <c r="G25" s="86" t="str">
        <f>"" &amp; G7 &amp; "\n" &amp; G8 &amp; "\n" &amp; H7 &amp; "\n" &amp; H8</f>
        <v>MsUp\n\n\n</v>
      </c>
      <c r="H25" s="86"/>
      <c r="I25" s="79" t="str">
        <f>"" &amp; I7 &amp; "\n" &amp; I8 &amp; "\n" &amp; J7 &amp; "\n" &amp; J8</f>
        <v>\n\n\n</v>
      </c>
      <c r="J25" s="79"/>
      <c r="K25" s="79" t="str">
        <f>"" &amp; K7 &amp; "\n" &amp; K8 &amp; "\n" &amp; L7 &amp; "\n" &amp; L8</f>
        <v>DeroulH\n\n\n</v>
      </c>
      <c r="L25" s="79"/>
      <c r="M25" s="79" t="str">
        <f>M7</f>
        <v>Volume +</v>
      </c>
      <c r="N25" s="79"/>
      <c r="O25"/>
      <c r="P25"/>
      <c r="Q25" s="79" t="str">
        <f>Q7</f>
        <v>Stop</v>
      </c>
      <c r="R25" s="79"/>
      <c r="S25" s="79" t="str">
        <f>"" &amp; S7 &amp; "\n" &amp; S8 &amp; "\n" &amp; T7 &amp; "\n" &amp; T8</f>
        <v>\n\n\n</v>
      </c>
      <c r="T25" s="79"/>
      <c r="U25" s="79" t="str">
        <f>"" &amp; U7 &amp; "\n" &amp; U8 &amp; "\n" &amp; V7 &amp; "\n" &amp; V8</f>
        <v>\n\n\n</v>
      </c>
      <c r="V25" s="79"/>
      <c r="W25" s="79" t="str">
        <f>"" &amp; W7 &amp; "\n" &amp; W8 &amp; "\n" &amp; X7 &amp; "\n" &amp; X8</f>
        <v>\n\n\n</v>
      </c>
      <c r="X25" s="79"/>
      <c r="Y25" s="79" t="str">
        <f>"" &amp; Y7 &amp; "\n" &amp; Y8 &amp; "\n" &amp; Z7 &amp; "\n" &amp; Z8</f>
        <v>\n\n\n</v>
      </c>
      <c r="Z25" s="79"/>
      <c r="AA25" s="79" t="str">
        <f>"" &amp; AA7 &amp; "\n" &amp; AA8 &amp; "\n" &amp; AB7 &amp; "\n" &amp; AB8</f>
        <v>\n\n\n</v>
      </c>
      <c r="AB25" s="79"/>
      <c r="AC25" s="79" t="str">
        <f>"" &amp; AC7 &amp; "\n" &amp; AC8 &amp; "\n" &amp; AD7 &amp; "\n" &amp; AD8</f>
        <v>\n\n\n</v>
      </c>
      <c r="AD25" s="79"/>
    </row>
    <row r="26" spans="1:30" hidden="1" x14ac:dyDescent="0.25">
      <c r="A26" s="79"/>
      <c r="B26" s="79"/>
      <c r="C26" s="79"/>
      <c r="D26" s="79"/>
      <c r="E26" s="86"/>
      <c r="F26" s="86"/>
      <c r="G26" s="86"/>
      <c r="H26" s="86"/>
      <c r="I26" s="79"/>
      <c r="J26" s="79"/>
      <c r="K26" s="79"/>
      <c r="L26" s="79"/>
      <c r="M26" s="79"/>
      <c r="N26" s="79"/>
      <c r="O26"/>
      <c r="P26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</row>
    <row r="27" spans="1:30" hidden="1" x14ac:dyDescent="0.25">
      <c r="A27" s="79" t="str">
        <f>"" &amp; A9 &amp; "\n" &amp; A10 &amp; "\n" &amp; B9 &amp; "\n" &amp; B10</f>
        <v>Souris Acc 2\n\n\n</v>
      </c>
      <c r="B27" s="79"/>
      <c r="C27" s="79" t="str">
        <f>"" &amp; C9 &amp; "\n" &amp; C10 &amp; "\n" &amp; D9 &amp; "\n" &amp; D10</f>
        <v>\n\n\n</v>
      </c>
      <c r="D27" s="79"/>
      <c r="E27" s="79" t="str">
        <f>"" &amp; E9 &amp; "\n" &amp; E10 &amp; "\n" &amp; F9 &amp; "\n" &amp; F10</f>
        <v>MsLeft\n\n\n</v>
      </c>
      <c r="F27" s="79"/>
      <c r="G27" s="79" t="str">
        <f>"" &amp; G9 &amp; "\n" &amp; G10 &amp; "\n" &amp; H9 &amp; "\n" &amp; H10</f>
        <v>MsDown\n\n\n</v>
      </c>
      <c r="H27" s="79"/>
      <c r="I27" s="79" t="str">
        <f>"" &amp; I9 &amp; "\n" &amp; I10 &amp; "\n" &amp; J9 &amp; "\n" &amp; J10</f>
        <v>MsRght\n\n\n</v>
      </c>
      <c r="J27" s="79"/>
      <c r="K27" s="79" t="str">
        <f>"" &amp; K9 &amp; "\n" &amp; K10 &amp; "\n" &amp; L9 &amp; "\n" &amp; L10</f>
        <v>DeroulB\n\n\n</v>
      </c>
      <c r="L27" s="79"/>
      <c r="M27" s="79" t="str">
        <f>M10</f>
        <v>Volume -</v>
      </c>
      <c r="N27" s="79"/>
      <c r="O27"/>
      <c r="P27"/>
      <c r="Q27" s="79" t="str">
        <f>Q10</f>
        <v>Lect/Pause</v>
      </c>
      <c r="R27" s="79"/>
      <c r="S27" s="79" t="str">
        <f>"" &amp; S9 &amp; "\n" &amp; S10 &amp; "\n" &amp; T9 &amp; "\n" &amp; T10</f>
        <v>\n\n\n</v>
      </c>
      <c r="T27" s="79"/>
      <c r="U27" s="79" t="str">
        <f>"" &amp; U9 &amp; "\n" &amp; U10 &amp; "\n" &amp; V9 &amp; "\n" &amp; V10</f>
        <v>Lclk\n\n\n</v>
      </c>
      <c r="V27" s="79"/>
      <c r="W27" s="79" t="str">
        <f>"" &amp; W9 &amp; "\n" &amp; W10 &amp; "\n" &amp; X9 &amp; "\n" &amp; X10</f>
        <v>Rclk\n\n\n</v>
      </c>
      <c r="X27" s="79"/>
      <c r="Y27" s="79" t="str">
        <f>"" &amp; Y9 &amp; "\n" &amp; Y10 &amp; "\n" &amp; Z9 &amp; "\n" &amp; Z10</f>
        <v>\n\n\n</v>
      </c>
      <c r="Z27" s="79"/>
      <c r="AA27" s="79" t="str">
        <f>"" &amp; AA9 &amp; "\n" &amp; AA10 &amp; "\n" &amp; AB9 &amp; "\n" &amp; AB10</f>
        <v>\n\n\n</v>
      </c>
      <c r="AB27" s="79"/>
      <c r="AC27" s="79" t="str">
        <f>"" &amp; AC9 &amp; "\n" &amp; AC10 &amp; "\n" &amp; AD9 &amp; "\n" &amp; AD10</f>
        <v>\n\n\n</v>
      </c>
      <c r="AD27" s="79"/>
    </row>
    <row r="28" spans="1:30" hidden="1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/>
      <c r="P28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</row>
    <row r="29" spans="1:30" hidden="1" x14ac:dyDescent="0.25">
      <c r="A29" s="79" t="str">
        <f>"" &amp; A11 &amp; "\n" &amp; A12 &amp; "\n" &amp; B11 &amp; "\n" &amp; B12</f>
        <v>Souris Acc 1\n\n\n</v>
      </c>
      <c r="B29" s="79"/>
      <c r="C29" s="79" t="str">
        <f>"" &amp; C11 &amp; "\n" &amp; C12 &amp; "\n" &amp; D11 &amp; "\n" &amp; D12</f>
        <v>\n\n\n</v>
      </c>
      <c r="D29" s="79"/>
      <c r="E29" s="79" t="str">
        <f>"" &amp; E11 &amp; "\n" &amp; E12 &amp; "\n" &amp; F11 &amp; "\n" &amp; F12</f>
        <v>DeroulG\n\n\n</v>
      </c>
      <c r="F29" s="79"/>
      <c r="G29" s="79" t="str">
        <f>"" &amp; G11 &amp; "\n" &amp; G12 &amp; "\n" &amp; H11 &amp; "\n" &amp; H12</f>
        <v>\n\n\n</v>
      </c>
      <c r="H29" s="79"/>
      <c r="I29" s="79" t="str">
        <f>"" &amp; I11 &amp; "\n" &amp; I12 &amp; "\n" &amp; J11 &amp; "\n" &amp; J12</f>
        <v>DeroulD\n\n\n</v>
      </c>
      <c r="J29" s="79"/>
      <c r="K29" s="79" t="str">
        <f>"" &amp; K11 &amp; "\n" &amp; K12 &amp; "\n" &amp; L11 &amp; "\n" &amp; L12</f>
        <v>\n\n\n</v>
      </c>
      <c r="L29" s="79"/>
      <c r="M29" s="79"/>
      <c r="N29" s="79"/>
      <c r="O29"/>
      <c r="P29"/>
      <c r="Q29" s="79"/>
      <c r="R29" s="79"/>
      <c r="S29" s="79" t="str">
        <f>"" &amp; S11 &amp; "\n" &amp; S12 &amp; "\n" &amp; T11 &amp; "\n" &amp; T12</f>
        <v>\n\n\n</v>
      </c>
      <c r="T29" s="79"/>
      <c r="U29" s="79" t="str">
        <f>"" &amp; U11 &amp; "\n" &amp; U12 &amp; "\n" &amp; V11 &amp; "\n" &amp; V12</f>
        <v>\n\n\n</v>
      </c>
      <c r="V29" s="79"/>
      <c r="W29" s="79" t="str">
        <f>"" &amp; W11 &amp; "\n" &amp; W12 &amp; "\n" &amp; X11 &amp; "\n" &amp; X12</f>
        <v>\n\n\n</v>
      </c>
      <c r="X29" s="79"/>
      <c r="Y29" s="79" t="str">
        <f>"" &amp; Y11 &amp; "\n" &amp; Y12 &amp; "\n" &amp; Z11 &amp; "\n" &amp; Z12</f>
        <v>\n\n\n</v>
      </c>
      <c r="Z29" s="79"/>
      <c r="AA29" s="79" t="str">
        <f>"" &amp; AA11 &amp; "\n" &amp; AA12 &amp; "\n" &amp; AB11 &amp; "\n" &amp; AB12</f>
        <v>\n\n\n</v>
      </c>
      <c r="AB29" s="79"/>
      <c r="AC29" s="79" t="str">
        <f>"" &amp; AC11 &amp; "\n" &amp; AC12 &amp; "\n" &amp; AD11 &amp; "\n" &amp; AD12</f>
        <v>\n\n\n</v>
      </c>
      <c r="AD29" s="79"/>
    </row>
    <row r="30" spans="1:30" hidden="1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/>
      <c r="P30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</row>
    <row r="31" spans="1:30" hidden="1" x14ac:dyDescent="0.25">
      <c r="A31" s="79" t="str">
        <f>"" &amp; A13 &amp; "\n" &amp; A14 &amp; "\n" &amp; B13 &amp; "\n" &amp; B14</f>
        <v>Souris Acc 0\n\n\n</v>
      </c>
      <c r="B31" s="79"/>
      <c r="C31" s="79" t="str">
        <f>"" &amp; C13 &amp; "\n" &amp; C14 &amp; "\n" &amp; D13 &amp; "\n" &amp; D14</f>
        <v>Alt\n\n\n</v>
      </c>
      <c r="D31" s="79"/>
      <c r="E31" s="79" t="str">
        <f>"" &amp; E13 &amp; "\n" &amp; E14 &amp; "\n" &amp; F13 &amp; "\n" &amp; F14</f>
        <v>GUIL\n\n\n</v>
      </c>
      <c r="F31" s="79"/>
      <c r="G31" s="79" t="str">
        <f>"" &amp; G13 &amp; "\n" &amp; G14 &amp; "\n" &amp; H13 &amp; "\n" &amp; H14</f>
        <v>Alt Gr\n\n\n</v>
      </c>
      <c r="H31" s="79"/>
      <c r="I31" s="79" t="str">
        <f>"" &amp; I13 &amp; "\n" &amp; I14 &amp; "\n" &amp; J13 &amp; "\n" &amp; J14</f>
        <v>ShiftG\n\n\n</v>
      </c>
      <c r="J31" s="79"/>
      <c r="K31" s="79"/>
      <c r="L31" s="79"/>
      <c r="M31" s="79"/>
      <c r="N31" s="79"/>
      <c r="O31"/>
      <c r="P31"/>
      <c r="Q31" s="79"/>
      <c r="R31" s="79"/>
      <c r="S31" s="79"/>
      <c r="T31" s="79"/>
      <c r="U31" s="79" t="str">
        <f>"" &amp; U13 &amp; "\n" &amp; U14 &amp; "\n" &amp; V13 &amp; "\n" &amp; V14</f>
        <v>Fn2\n\n\n</v>
      </c>
      <c r="V31" s="79"/>
      <c r="W31" s="79" t="str">
        <f>"" &amp; W13 &amp; "\n" &amp; W14 &amp; "\n" &amp; X13 &amp; "\n" &amp; X14</f>
        <v>Fin\n\n\n</v>
      </c>
      <c r="X31" s="79"/>
      <c r="Y31" s="79" t="str">
        <f>"" &amp; Y13 &amp; "\n" &amp; Y14 &amp; "\n" &amp; Z13 &amp; "\n" &amp; Z14</f>
        <v>GUID\n\n\n</v>
      </c>
      <c r="Z31" s="79"/>
      <c r="AA31" s="79" t="str">
        <f>"" &amp; AA13 &amp; "\n" &amp; AA14 &amp; "\n" &amp; AB13 &amp; "\n" &amp; AB14</f>
        <v>Alt\n\n\n</v>
      </c>
      <c r="AB31" s="79"/>
      <c r="AC31" s="79" t="str">
        <f>"" &amp; AC13 &amp; "\n" &amp; AC14 &amp; "\n" &amp; AD13 &amp; "\n" &amp; AD14</f>
        <v>CtrlD\n\n\n</v>
      </c>
      <c r="AD31" s="79"/>
    </row>
    <row r="32" spans="1:30" hidden="1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</row>
    <row r="33" spans="1:36" hidden="1" x14ac:dyDescent="0.25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6" ht="15.75" thickBot="1" x14ac:dyDescent="0.3"/>
    <row r="35" spans="1:36" ht="15.75" thickBot="1" x14ac:dyDescent="0.3">
      <c r="A35" s="80" t="s">
        <v>594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2"/>
      <c r="P35" s="83" t="s">
        <v>595</v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5"/>
    </row>
    <row r="36" spans="1:36" x14ac:dyDescent="0.25">
      <c r="A36" s="25" t="str">
        <f>"[{x:3.5},"""&amp;G23&amp;""",{x:10.5},"""&amp;W23&amp;"""],"</f>
        <v>[{x:3.5},"\n\n\n",{x:10.5},"\n\n\n"],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76" t="s">
        <v>721</v>
      </c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8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[{y:-0.875,x:2.5},"\n\n\n",{x:1},"\n\n\n",{x:8.5},"\n\n\n",{x:1},"\n\n\n"],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70" t="s">
        <v>45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2"/>
    </row>
    <row r="38" spans="1:36" x14ac:dyDescent="0.25">
      <c r="A38" s="25" t="str">
        <f>"[{y:-0.875,x:5.5},""" &amp; K23 &amp; """,""" &amp; M23 &amp;""",{x:4.5},"""&amp; Q23 &amp; """,""" &amp; S23 &amp; """],"</f>
        <v>[{y:-0.875,x:5.5},"\n\n\n","Titre -\n\n\n",{x:4.5},"Titre +\n\n\n","\n\n\n"],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70" t="s">
        <v>567</v>
      </c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2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70" t="s">
        <v>619</v>
      </c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2"/>
    </row>
    <row r="40" spans="1:36" x14ac:dyDescent="0.25">
      <c r="A40" s="25" t="str">
        <f>"[{y:-0.375,x:3.5},""" &amp; G25 &amp; """,{x:10.5},""" &amp; W25&amp;"""],"</f>
        <v>[{y:-0.375,x:3.5},"MsUp\n\n\n",{x:10.5},"\n\n\n"],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70" t="s">
        <v>598</v>
      </c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2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[{y:-0.875,x:2.5},"\n\n\n",{x:1},"\n\n\n",{x:8.5},"\n\n\n",{x:1},"\n\n\n"],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70" t="s">
        <v>622</v>
      </c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2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[{y:-0.875,x:5.5},"DeroulH\n\n\n" ,{h:1.5},"Volume +",{x:4.5,h:1.5},"Stop","\n\n\n"],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70" t="s">
        <v>568</v>
      </c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2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70" t="s">
        <v>625</v>
      </c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2"/>
    </row>
    <row r="44" spans="1:36" x14ac:dyDescent="0.25">
      <c r="A44" s="25" t="str">
        <f>"[{y:-0.375,x:3.5},""" &amp; G27&amp; """,{x:10.5},""" &amp; W27&amp; """],"</f>
        <v>[{y:-0.375,x:3.5},"MsDown\n\n\n",{x:10.5},"Rclk\n\n\n"],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70" t="s">
        <v>568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2"/>
    </row>
    <row r="45" spans="1:36" x14ac:dyDescent="0.25">
      <c r="A45" s="25" t="str">
        <f>"[{y:-0.875,x:2.5},""" &amp;E27&amp; """,{x:1},""" &amp;I27&amp; """,{x:8.5},""" &amp;U27&amp; """,{x:1},""" &amp;Y27&amp; """],"</f>
        <v>[{y:-0.875,x:2.5},"MsLeft\n\n\n",{x:1},"MsRght\n\n\n",{x:8.5},"Lclk\n\n\n",{x:1},"\n\n\n"],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70" t="s">
        <v>628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2"/>
    </row>
    <row r="46" spans="1:36" x14ac:dyDescent="0.25">
      <c r="A46" s="25" t="str">
        <f>"[{y:-0.875,x:5.5},""" &amp; K27 &amp;""",{x:6.5},""" &amp; S27 &amp; """],"</f>
        <v>[{y:-0.875,x:5.5},"DeroulB\n\n\n",{x:6.5},"\n\n\n"],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70" t="s">
        <v>569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2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[{y:-0.875,w:1.5},"Souris Acc 2\n\n\n","\n\n\n",{x:14.5},"\n\n\n",{w:1.5},"\n\n\n"],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70" t="s">
        <v>631</v>
      </c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2"/>
    </row>
    <row r="48" spans="1:36" x14ac:dyDescent="0.25">
      <c r="A48" s="25" t="str">
        <f>"[{y:-0.625,x:6.5,h:1.5},""" &amp; M27 &amp; """,{x:4.5,h:1.5},""" &amp; Q27 &amp; """],"</f>
        <v>[{y:-0.625,x:6.5,h:1.5},"Volume -",{x:4.5,h:1.5},"Lect/Pause"],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70" t="s">
        <v>570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2"/>
    </row>
    <row r="49" spans="1:36" x14ac:dyDescent="0.25">
      <c r="A49" s="25" t="str">
        <f>"[{y:-0.75,x:3.5},""" &amp; G29 &amp; """,{x:10.5},""" &amp; W29 &amp; """],"</f>
        <v>[{y:-0.75,x:3.5},"\n\n\n",{x:10.5},"\n\n\n"],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70" t="s">
        <v>571</v>
      </c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2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[{y:-0.875,x:2.5},"DeroulG\n\n\n",{x:1},"DeroulD\n\n\n",{x:8.5},"\n\n\n",{x:1},"\n\n\n"],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70" t="s">
        <v>599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2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70" t="s">
        <v>600</v>
      </c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2"/>
    </row>
    <row r="52" spans="1:36" x14ac:dyDescent="0.25">
      <c r="A52" s="25" t="str">
        <f>"[{y:-0.875,w:1.5},""" &amp;A29&amp; """,""" &amp;C29&amp; """,{x:14.5},""" &amp;AA29&amp; """,{w:1.5},""" &amp;AC29&amp; """],"</f>
        <v>[{y:-0.875,w:1.5},"Souris Acc 1\n\n\n","\n\n\n",{x:14.5},"\n\n\n",{w:1.5},"\n\n\n"],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70" t="s">
        <v>601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2"/>
    </row>
    <row r="53" spans="1:36" x14ac:dyDescent="0.25">
      <c r="A53" s="25" t="str">
        <f>"[{y:-0.375,x:3.5},""" &amp; G31&amp; """,{x:10.5},""" &amp; W31&amp; """],"</f>
        <v>[{y:-0.375,x:3.5},"Alt Gr\n\n\n",{x:10.5},"Fin\n\n\n"],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70" t="s">
        <v>602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2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[{y:-0.875,x:2.5},"GUIL\n\n\n",{x:1},"ShiftG\n\n\n",{x:8.5},"Fn2\n\n\n",{x:1},"GUID\n\n\n"],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70" t="s">
        <v>702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2"/>
    </row>
    <row r="55" spans="1:36" x14ac:dyDescent="0.25">
      <c r="A55" s="25" t="str">
        <f>"[{y:-0.75,x:0.5},""" &amp; A31&amp; """,""" &amp; C31&amp; """,{x:14.5},""" &amp; AA31&amp; """,""" &amp;AC31 &amp; """],"</f>
        <v>[{y:-0.75,x:0.5},"Souris Acc 0\n\n\n","Alt\n\n\n",{x:14.5},"Alt\n\n\n","CtrlD\n\n\n"],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70" t="s">
        <v>603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2"/>
    </row>
    <row r="56" spans="1:36" x14ac:dyDescent="0.25">
      <c r="A56" s="25" t="str">
        <f>"[{r:30,rx:6.5,ry:4.25,y:-1,x:1},""" &amp;K16 &amp; """,""" &amp;M16 &amp; """],"</f>
        <v>[{r:30,rx:6.5,ry:4.25,y:-1,x:1},"",""],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70" t="s">
        <v>572</v>
      </c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2"/>
    </row>
    <row r="57" spans="1:36" x14ac:dyDescent="0.25">
      <c r="A57" s="25" t="str">
        <f>"[{h:2},""" &amp;I18&amp; """,{h:2},""" &amp;K18&amp; """,""" &amp;M18&amp; """],"</f>
        <v>[{h:2},"Mute",{h:2},"Mute",""],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70" t="s">
        <v>649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2"/>
    </row>
    <row r="58" spans="1:36" x14ac:dyDescent="0.25">
      <c r="A58" s="25" t="str">
        <f>"[{x:2},""" &amp;M20&amp;"""],"</f>
        <v>[{x:2},"Fn2"],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70" t="s">
        <v>573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2"/>
    </row>
    <row r="59" spans="1:36" x14ac:dyDescent="0.25">
      <c r="A59" s="25" t="str">
        <f>"[{r:-30,rx:13,y:-1,x:-3},""" &amp; Q16 &amp; """,""" &amp; S16 &amp; """],"</f>
        <v>[{r:-30,rx:13,y:-1,x:-3},"",""],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70" t="s">
        <v>618</v>
      </c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2"/>
    </row>
    <row r="60" spans="1:36" x14ac:dyDescent="0.25">
      <c r="A60" s="25" t="str">
        <f>"[{x:-3},""" &amp;Q18&amp; """,{h:2},""" &amp;S18&amp; """,{h:2},""" &amp;U18&amp; """],"</f>
        <v>[{x:-3},"",{h:2},"Mute",{h:2},"Mute"],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70" t="s">
        <v>621</v>
      </c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2"/>
    </row>
    <row r="61" spans="1:36" ht="15.75" thickBot="1" x14ac:dyDescent="0.3">
      <c r="A61" s="28" t="str">
        <f>"[{x:-3},"""&amp;Q20&amp;"""]"</f>
        <v>[{x:-3},"Fn1"]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70" t="s">
        <v>624</v>
      </c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2"/>
    </row>
    <row r="62" spans="1:36" x14ac:dyDescent="0.25">
      <c r="P62" s="70" t="s">
        <v>627</v>
      </c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2"/>
    </row>
    <row r="63" spans="1:36" x14ac:dyDescent="0.25">
      <c r="P63" s="70" t="s">
        <v>732</v>
      </c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2"/>
    </row>
    <row r="64" spans="1:36" x14ac:dyDescent="0.25">
      <c r="P64" s="70" t="s">
        <v>609</v>
      </c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2"/>
    </row>
    <row r="65" spans="16:36" x14ac:dyDescent="0.25">
      <c r="P65" s="70" t="s">
        <v>611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2"/>
    </row>
    <row r="66" spans="16:36" x14ac:dyDescent="0.25">
      <c r="P66" s="70" t="s">
        <v>701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2"/>
    </row>
    <row r="67" spans="16:36" x14ac:dyDescent="0.25">
      <c r="P67" s="70" t="s">
        <v>574</v>
      </c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2"/>
    </row>
    <row r="68" spans="16:36" x14ac:dyDescent="0.25">
      <c r="P68" s="70" t="s">
        <v>620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2"/>
    </row>
    <row r="69" spans="16:36" x14ac:dyDescent="0.25">
      <c r="P69" s="70" t="s">
        <v>623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2"/>
    </row>
    <row r="70" spans="16:36" x14ac:dyDescent="0.25">
      <c r="P70" s="70" t="s">
        <v>626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2"/>
    </row>
    <row r="71" spans="16:36" x14ac:dyDescent="0.25">
      <c r="P71" s="70" t="s">
        <v>629</v>
      </c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2"/>
    </row>
    <row r="72" spans="16:36" x14ac:dyDescent="0.25">
      <c r="P72" s="70" t="s">
        <v>630</v>
      </c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2"/>
    </row>
    <row r="73" spans="16:36" x14ac:dyDescent="0.25">
      <c r="P73" s="70" t="s">
        <v>610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2"/>
    </row>
    <row r="74" spans="16:36" x14ac:dyDescent="0.25">
      <c r="P74" s="70" t="s">
        <v>612</v>
      </c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2"/>
    </row>
    <row r="75" spans="16:36" x14ac:dyDescent="0.25">
      <c r="P75" s="70" t="s">
        <v>703</v>
      </c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2"/>
    </row>
    <row r="76" spans="16:36" ht="15.75" thickBot="1" x14ac:dyDescent="0.3">
      <c r="P76" s="73" t="s">
        <v>581</v>
      </c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5"/>
    </row>
  </sheetData>
  <mergeCells count="192"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</mergeCells>
  <hyperlinks>
    <hyperlink ref="A35" r:id="rId1" display="http://www.keyboard-layout-editor.com" xr:uid="{00000000-0004-0000-03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C1"/>
  <sheetViews>
    <sheetView workbookViewId="0">
      <selection activeCell="C6" sqref="C6"/>
    </sheetView>
  </sheetViews>
  <sheetFormatPr baseColWidth="10" defaultRowHeight="15" x14ac:dyDescent="0.25"/>
  <cols>
    <col min="3" max="3" width="64.85546875" customWidth="1"/>
  </cols>
  <sheetData>
    <row r="1" spans="1:3" ht="45" x14ac:dyDescent="0.25">
      <c r="A1" t="s">
        <v>596</v>
      </c>
      <c r="B1" s="51">
        <v>43149</v>
      </c>
      <c r="C1" s="60" t="s">
        <v>597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pageSetUpPr fitToPage="1"/>
  </sheetPr>
  <dimension ref="A1:AJ76"/>
  <sheetViews>
    <sheetView topLeftCell="A3" zoomScale="85" zoomScaleNormal="85" workbookViewId="0">
      <selection activeCell="D17" sqref="D17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97" t="s">
        <v>723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98"/>
    </row>
    <row r="2" spans="1:30" ht="23.1" hidden="1" customHeight="1" thickBot="1" x14ac:dyDescent="0.3">
      <c r="A2" s="97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98"/>
    </row>
    <row r="3" spans="1:30" ht="23.1" customHeight="1" x14ac:dyDescent="0.25">
      <c r="A3" s="97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98"/>
    </row>
    <row r="4" spans="1:30" ht="23.1" customHeight="1" thickBot="1" x14ac:dyDescent="0.3">
      <c r="A4" s="97" t="s">
        <v>719</v>
      </c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98"/>
    </row>
    <row r="5" spans="1:30" ht="23.1" customHeight="1" x14ac:dyDescent="0.25">
      <c r="A5" s="100"/>
      <c r="B5" s="101"/>
      <c r="C5" s="100"/>
      <c r="D5" s="101"/>
      <c r="E5" s="100" t="s">
        <v>380</v>
      </c>
      <c r="F5" s="101"/>
      <c r="G5" s="100" t="s">
        <v>379</v>
      </c>
      <c r="H5" s="101"/>
      <c r="I5" s="100" t="s">
        <v>378</v>
      </c>
      <c r="J5" s="101"/>
      <c r="K5" s="100"/>
      <c r="L5" s="101"/>
      <c r="M5" s="100"/>
      <c r="N5" s="101"/>
      <c r="O5" s="65"/>
      <c r="P5" s="66"/>
      <c r="Q5" s="87" t="s">
        <v>210</v>
      </c>
      <c r="R5" s="88"/>
      <c r="S5" s="100"/>
      <c r="T5" s="101"/>
      <c r="U5" s="100" t="s">
        <v>378</v>
      </c>
      <c r="V5" s="101"/>
      <c r="W5" s="100" t="s">
        <v>379</v>
      </c>
      <c r="X5" s="101"/>
      <c r="Y5" s="100" t="s">
        <v>380</v>
      </c>
      <c r="Z5" s="101"/>
      <c r="AA5" s="100"/>
      <c r="AB5" s="101"/>
      <c r="AC5" s="100"/>
      <c r="AD5" s="101"/>
    </row>
    <row r="6" spans="1:30" ht="23.1" customHeight="1" thickBot="1" x14ac:dyDescent="0.3">
      <c r="A6" s="102"/>
      <c r="B6" s="103"/>
      <c r="C6" s="102"/>
      <c r="D6" s="103"/>
      <c r="E6" s="102"/>
      <c r="F6" s="103"/>
      <c r="G6" s="102"/>
      <c r="H6" s="103"/>
      <c r="I6" s="102"/>
      <c r="J6" s="103"/>
      <c r="K6" s="102"/>
      <c r="L6" s="103"/>
      <c r="M6" s="102"/>
      <c r="N6" s="103"/>
      <c r="O6" s="65"/>
      <c r="P6" s="66"/>
      <c r="Q6" s="91"/>
      <c r="R6" s="92"/>
      <c r="S6" s="102"/>
      <c r="T6" s="103"/>
      <c r="U6" s="102"/>
      <c r="V6" s="103"/>
      <c r="W6" s="102"/>
      <c r="X6" s="103"/>
      <c r="Y6" s="102"/>
      <c r="Z6" s="103"/>
      <c r="AA6" s="102"/>
      <c r="AB6" s="103"/>
      <c r="AC6" s="102"/>
      <c r="AD6" s="103"/>
    </row>
    <row r="7" spans="1:30" ht="23.1" customHeight="1" x14ac:dyDescent="0.25">
      <c r="A7" s="100"/>
      <c r="B7" s="101"/>
      <c r="C7" s="100"/>
      <c r="D7" s="101"/>
      <c r="E7" s="100" t="s">
        <v>377</v>
      </c>
      <c r="F7" s="101"/>
      <c r="G7" s="100" t="s">
        <v>376</v>
      </c>
      <c r="H7" s="101"/>
      <c r="I7" s="100" t="s">
        <v>375</v>
      </c>
      <c r="J7" s="101"/>
      <c r="K7" s="100"/>
      <c r="L7" s="101"/>
      <c r="M7" s="87" t="s">
        <v>664</v>
      </c>
      <c r="N7" s="88"/>
      <c r="O7" s="65"/>
      <c r="P7" s="66"/>
      <c r="Q7" s="87" t="s">
        <v>665</v>
      </c>
      <c r="R7" s="88"/>
      <c r="S7" s="100"/>
      <c r="T7" s="101"/>
      <c r="U7" s="100" t="s">
        <v>375</v>
      </c>
      <c r="V7" s="101"/>
      <c r="W7" s="100" t="s">
        <v>376</v>
      </c>
      <c r="X7" s="101"/>
      <c r="Y7" s="100" t="s">
        <v>377</v>
      </c>
      <c r="Z7" s="101"/>
      <c r="AA7" s="100"/>
      <c r="AB7" s="101"/>
      <c r="AC7" s="100"/>
      <c r="AD7" s="101"/>
    </row>
    <row r="8" spans="1:30" ht="23.1" customHeight="1" thickBot="1" x14ac:dyDescent="0.3">
      <c r="A8" s="102"/>
      <c r="B8" s="103"/>
      <c r="C8" s="102"/>
      <c r="D8" s="103"/>
      <c r="E8" s="102"/>
      <c r="F8" s="103"/>
      <c r="G8" s="102"/>
      <c r="H8" s="103"/>
      <c r="I8" s="102"/>
      <c r="J8" s="103"/>
      <c r="K8" s="102"/>
      <c r="L8" s="103"/>
      <c r="M8" s="89"/>
      <c r="N8" s="90"/>
      <c r="O8" s="65"/>
      <c r="P8" s="66"/>
      <c r="Q8" s="89"/>
      <c r="R8" s="90"/>
      <c r="S8" s="102"/>
      <c r="T8" s="103"/>
      <c r="U8" s="102"/>
      <c r="V8" s="103"/>
      <c r="W8" s="102"/>
      <c r="X8" s="103"/>
      <c r="Y8" s="102"/>
      <c r="Z8" s="103"/>
      <c r="AA8" s="102"/>
      <c r="AB8" s="103"/>
      <c r="AC8" s="102"/>
      <c r="AD8" s="103"/>
    </row>
    <row r="9" spans="1:30" ht="23.1" customHeight="1" thickBot="1" x14ac:dyDescent="0.3">
      <c r="A9" s="100"/>
      <c r="B9" s="101"/>
      <c r="C9" s="100"/>
      <c r="D9" s="101"/>
      <c r="E9" s="100" t="s">
        <v>374</v>
      </c>
      <c r="F9" s="101"/>
      <c r="G9" s="100" t="s">
        <v>373</v>
      </c>
      <c r="H9" s="101"/>
      <c r="I9" s="100" t="s">
        <v>372</v>
      </c>
      <c r="J9" s="101"/>
      <c r="K9" s="100" t="s">
        <v>670</v>
      </c>
      <c r="L9" s="101"/>
      <c r="M9" s="91"/>
      <c r="N9" s="92"/>
      <c r="O9" s="65"/>
      <c r="P9" s="66"/>
      <c r="Q9" s="91"/>
      <c r="R9" s="92"/>
      <c r="S9" s="100" t="s">
        <v>671</v>
      </c>
      <c r="T9" s="101"/>
      <c r="U9" s="100" t="s">
        <v>372</v>
      </c>
      <c r="V9" s="101"/>
      <c r="W9" s="100" t="s">
        <v>373</v>
      </c>
      <c r="X9" s="101"/>
      <c r="Y9" s="100" t="s">
        <v>374</v>
      </c>
      <c r="Z9" s="101"/>
      <c r="AA9" s="100"/>
      <c r="AB9" s="101"/>
      <c r="AC9" s="100"/>
      <c r="AD9" s="101"/>
    </row>
    <row r="10" spans="1:30" ht="23.1" customHeight="1" thickBot="1" x14ac:dyDescent="0.3">
      <c r="A10" s="102"/>
      <c r="B10" s="103"/>
      <c r="C10" s="102"/>
      <c r="D10" s="103"/>
      <c r="E10" s="102"/>
      <c r="F10" s="103"/>
      <c r="G10" s="102"/>
      <c r="H10" s="103"/>
      <c r="I10" s="102"/>
      <c r="J10" s="103"/>
      <c r="K10" s="102"/>
      <c r="L10" s="103"/>
      <c r="M10" s="87" t="s">
        <v>667</v>
      </c>
      <c r="N10" s="88"/>
      <c r="O10" s="65"/>
      <c r="P10" s="66"/>
      <c r="Q10" s="87" t="s">
        <v>669</v>
      </c>
      <c r="R10" s="88"/>
      <c r="S10" s="102"/>
      <c r="T10" s="103"/>
      <c r="U10" s="102"/>
      <c r="V10" s="103"/>
      <c r="W10" s="102"/>
      <c r="X10" s="103"/>
      <c r="Y10" s="102"/>
      <c r="Z10" s="103"/>
      <c r="AA10" s="102"/>
      <c r="AB10" s="103"/>
      <c r="AC10" s="102"/>
      <c r="AD10" s="103"/>
    </row>
    <row r="11" spans="1:30" ht="23.1" customHeight="1" x14ac:dyDescent="0.25">
      <c r="A11" s="87"/>
      <c r="B11" s="88"/>
      <c r="C11" s="100"/>
      <c r="D11" s="101"/>
      <c r="E11" s="100" t="s">
        <v>371</v>
      </c>
      <c r="F11" s="101"/>
      <c r="G11" s="100" t="s">
        <v>370</v>
      </c>
      <c r="H11" s="101"/>
      <c r="I11" s="100" t="s">
        <v>369</v>
      </c>
      <c r="J11" s="101"/>
      <c r="K11" s="100"/>
      <c r="L11" s="101"/>
      <c r="M11" s="89"/>
      <c r="N11" s="90"/>
      <c r="O11" s="89"/>
      <c r="P11" s="90"/>
      <c r="Q11" s="89"/>
      <c r="R11" s="90"/>
      <c r="S11" s="87"/>
      <c r="T11" s="88"/>
      <c r="U11" s="100" t="s">
        <v>369</v>
      </c>
      <c r="V11" s="101"/>
      <c r="W11" s="100" t="s">
        <v>370</v>
      </c>
      <c r="X11" s="101"/>
      <c r="Y11" s="100" t="s">
        <v>371</v>
      </c>
      <c r="Z11" s="101"/>
      <c r="AA11" s="100"/>
      <c r="AB11" s="101"/>
      <c r="AC11" s="100"/>
      <c r="AD11" s="101"/>
    </row>
    <row r="12" spans="1:30" ht="23.1" customHeight="1" thickBot="1" x14ac:dyDescent="0.3">
      <c r="A12" s="91"/>
      <c r="B12" s="92"/>
      <c r="C12" s="102"/>
      <c r="D12" s="103"/>
      <c r="E12" s="102"/>
      <c r="F12" s="103"/>
      <c r="G12" s="102"/>
      <c r="H12" s="103"/>
      <c r="I12" s="102"/>
      <c r="J12" s="103"/>
      <c r="K12" s="102"/>
      <c r="L12" s="103"/>
      <c r="M12" s="91"/>
      <c r="N12" s="92"/>
      <c r="O12" s="89"/>
      <c r="P12" s="90"/>
      <c r="Q12" s="91"/>
      <c r="R12" s="92"/>
      <c r="S12" s="91"/>
      <c r="T12" s="92"/>
      <c r="U12" s="102"/>
      <c r="V12" s="103"/>
      <c r="W12" s="102"/>
      <c r="X12" s="103"/>
      <c r="Y12" s="102"/>
      <c r="Z12" s="103"/>
      <c r="AA12" s="102"/>
      <c r="AB12" s="103"/>
      <c r="AC12" s="102"/>
      <c r="AD12" s="103"/>
    </row>
    <row r="13" spans="1:30" ht="23.1" customHeight="1" x14ac:dyDescent="0.25">
      <c r="A13" s="87" t="s">
        <v>347</v>
      </c>
      <c r="B13" s="88"/>
      <c r="C13" s="87" t="s">
        <v>211</v>
      </c>
      <c r="D13" s="88"/>
      <c r="E13" s="87" t="s">
        <v>426</v>
      </c>
      <c r="F13" s="88"/>
      <c r="G13" s="87" t="s">
        <v>212</v>
      </c>
      <c r="H13" s="88"/>
      <c r="I13" s="87" t="s">
        <v>349</v>
      </c>
      <c r="J13" s="88"/>
      <c r="K13" s="63"/>
      <c r="L13" s="22"/>
      <c r="M13" s="22"/>
      <c r="N13" s="22"/>
      <c r="O13" s="69"/>
      <c r="P13" s="69"/>
      <c r="Q13" s="22"/>
      <c r="R13" s="22"/>
      <c r="S13" s="22"/>
      <c r="T13" s="64"/>
      <c r="U13" s="100"/>
      <c r="V13" s="101"/>
      <c r="W13" s="87" t="s">
        <v>212</v>
      </c>
      <c r="X13" s="88"/>
      <c r="Y13" s="87" t="s">
        <v>427</v>
      </c>
      <c r="Z13" s="88"/>
      <c r="AA13" s="87" t="s">
        <v>211</v>
      </c>
      <c r="AB13" s="88"/>
      <c r="AC13" s="87" t="s">
        <v>348</v>
      </c>
      <c r="AD13" s="88"/>
    </row>
    <row r="14" spans="1:30" ht="23.1" customHeight="1" thickBot="1" x14ac:dyDescent="0.3">
      <c r="A14" s="91"/>
      <c r="B14" s="92"/>
      <c r="C14" s="91"/>
      <c r="D14" s="92"/>
      <c r="E14" s="91"/>
      <c r="F14" s="92"/>
      <c r="G14" s="91"/>
      <c r="H14" s="92"/>
      <c r="I14" s="91"/>
      <c r="J14" s="92"/>
      <c r="K14" s="65"/>
      <c r="L14" s="69"/>
      <c r="M14" s="69"/>
      <c r="N14" s="69"/>
      <c r="O14" s="69"/>
      <c r="P14" s="69"/>
      <c r="Q14" s="69"/>
      <c r="R14" s="69"/>
      <c r="S14" s="69"/>
      <c r="T14" s="66"/>
      <c r="U14" s="102"/>
      <c r="V14" s="103"/>
      <c r="W14" s="91"/>
      <c r="X14" s="92"/>
      <c r="Y14" s="91"/>
      <c r="Z14" s="92"/>
      <c r="AA14" s="91"/>
      <c r="AB14" s="92"/>
      <c r="AC14" s="91"/>
      <c r="AD14" s="92"/>
    </row>
    <row r="15" spans="1:30" ht="15.75" thickBot="1" x14ac:dyDescent="0.3"/>
    <row r="16" spans="1:30" ht="23.1" customHeight="1" x14ac:dyDescent="0.25">
      <c r="I16" s="69"/>
      <c r="J16" s="66"/>
      <c r="K16" s="87" t="s">
        <v>218</v>
      </c>
      <c r="L16" s="88"/>
      <c r="M16" s="87" t="s">
        <v>216</v>
      </c>
      <c r="N16" s="88"/>
      <c r="Q16" s="87" t="s">
        <v>421</v>
      </c>
      <c r="R16" s="88"/>
      <c r="S16" s="87" t="s">
        <v>218</v>
      </c>
      <c r="T16" s="88"/>
      <c r="U16" s="65"/>
      <c r="V16" s="69"/>
    </row>
    <row r="17" spans="1:30" ht="23.1" customHeight="1" thickBot="1" x14ac:dyDescent="0.3">
      <c r="I17" s="21"/>
      <c r="J17" s="68"/>
      <c r="K17" s="91"/>
      <c r="L17" s="92"/>
      <c r="M17" s="91"/>
      <c r="N17" s="92"/>
      <c r="Q17" s="91"/>
      <c r="R17" s="92"/>
      <c r="S17" s="91"/>
      <c r="T17" s="92"/>
      <c r="U17" s="67"/>
      <c r="V17" s="21"/>
    </row>
    <row r="18" spans="1:30" ht="23.1" customHeight="1" x14ac:dyDescent="0.25">
      <c r="I18" s="87" t="s">
        <v>373</v>
      </c>
      <c r="J18" s="88"/>
      <c r="K18" s="87" t="s">
        <v>349</v>
      </c>
      <c r="L18" s="88"/>
      <c r="M18" s="87"/>
      <c r="N18" s="88"/>
      <c r="Q18" s="87"/>
      <c r="R18" s="88"/>
      <c r="S18" s="87" t="s">
        <v>464</v>
      </c>
      <c r="T18" s="88"/>
      <c r="U18" s="87" t="s">
        <v>376</v>
      </c>
      <c r="V18" s="88"/>
    </row>
    <row r="19" spans="1:30" ht="23.1" customHeight="1" thickBot="1" x14ac:dyDescent="0.3">
      <c r="I19" s="89"/>
      <c r="J19" s="90"/>
      <c r="K19" s="89"/>
      <c r="L19" s="90"/>
      <c r="M19" s="91"/>
      <c r="N19" s="92"/>
      <c r="Q19" s="91"/>
      <c r="R19" s="92"/>
      <c r="S19" s="89"/>
      <c r="T19" s="90"/>
      <c r="U19" s="89"/>
      <c r="V19" s="90"/>
    </row>
    <row r="20" spans="1:30" ht="23.1" customHeight="1" x14ac:dyDescent="0.25">
      <c r="I20" s="89"/>
      <c r="J20" s="90"/>
      <c r="K20" s="89"/>
      <c r="L20" s="90"/>
      <c r="M20" s="100" t="s">
        <v>376</v>
      </c>
      <c r="N20" s="101"/>
      <c r="Q20" s="104"/>
      <c r="R20" s="105"/>
      <c r="S20" s="89"/>
      <c r="T20" s="90"/>
      <c r="U20" s="89"/>
      <c r="V20" s="90"/>
    </row>
    <row r="21" spans="1:30" ht="23.1" customHeight="1" thickBot="1" x14ac:dyDescent="0.3">
      <c r="I21" s="91"/>
      <c r="J21" s="92"/>
      <c r="K21" s="91"/>
      <c r="L21" s="92"/>
      <c r="M21" s="102"/>
      <c r="N21" s="103"/>
      <c r="Q21" s="108"/>
      <c r="R21" s="109"/>
      <c r="S21" s="91"/>
      <c r="T21" s="92"/>
      <c r="U21" s="91"/>
      <c r="V21" s="92"/>
    </row>
    <row r="23" spans="1:30" hidden="1" x14ac:dyDescent="0.25">
      <c r="A23" s="79" t="str">
        <f>"" &amp; A5 &amp; "\n" &amp; A6 &amp; "\n" &amp; B5 &amp; "\n" &amp; B6</f>
        <v>\n\n\n</v>
      </c>
      <c r="B23" s="79"/>
      <c r="C23" s="79" t="str">
        <f t="shared" ref="C23:AC23" si="0">"" &amp; C5 &amp; "\n" &amp; C6 &amp; "\n" &amp; D5 &amp; "\n" &amp; D6</f>
        <v>\n\n\n</v>
      </c>
      <c r="D23" s="79"/>
      <c r="E23" s="79" t="str">
        <f t="shared" si="0"/>
        <v>F12\n\n\n</v>
      </c>
      <c r="F23" s="79"/>
      <c r="G23" s="79" t="str">
        <f t="shared" si="0"/>
        <v>F11\n\n\n</v>
      </c>
      <c r="H23" s="79"/>
      <c r="I23" s="79" t="str">
        <f t="shared" si="0"/>
        <v>F10\n\n\n</v>
      </c>
      <c r="J23" s="79"/>
      <c r="K23" s="79" t="str">
        <f t="shared" si="0"/>
        <v>\n\n\n</v>
      </c>
      <c r="L23" s="79"/>
      <c r="M23" s="79" t="str">
        <f t="shared" si="0"/>
        <v>\n\n\n</v>
      </c>
      <c r="N23" s="79"/>
      <c r="O23"/>
      <c r="P23"/>
      <c r="Q23" s="79" t="str">
        <f t="shared" si="0"/>
        <v>Del\n\n\n</v>
      </c>
      <c r="R23" s="79"/>
      <c r="S23" s="79" t="str">
        <f t="shared" si="0"/>
        <v>\n\n\n</v>
      </c>
      <c r="T23" s="79"/>
      <c r="U23" s="79" t="str">
        <f t="shared" si="0"/>
        <v>F10\n\n\n</v>
      </c>
      <c r="V23" s="79"/>
      <c r="W23" s="79" t="str">
        <f t="shared" si="0"/>
        <v>F11\n\n\n</v>
      </c>
      <c r="X23" s="79"/>
      <c r="Y23" s="79" t="str">
        <f t="shared" si="0"/>
        <v>F12\n\n\n</v>
      </c>
      <c r="Z23" s="79"/>
      <c r="AA23" s="79" t="str">
        <f t="shared" si="0"/>
        <v>\n\n\n</v>
      </c>
      <c r="AB23" s="79"/>
      <c r="AC23" s="79" t="str">
        <f t="shared" si="0"/>
        <v>\n\n\n</v>
      </c>
      <c r="AD23" s="79"/>
    </row>
    <row r="24" spans="1:30" hidden="1" x14ac:dyDescent="0.25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/>
      <c r="P24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</row>
    <row r="25" spans="1:30" hidden="1" x14ac:dyDescent="0.25">
      <c r="A25" s="79" t="str">
        <f>"" &amp; A7 &amp; "\n" &amp; A8 &amp; "\n" &amp; B7 &amp; "\n" &amp; B8</f>
        <v>\n\n\n</v>
      </c>
      <c r="B25" s="79"/>
      <c r="C25" s="79" t="str">
        <f>"" &amp; C7 &amp; "\n" &amp; C8 &amp; "\n" &amp; D7 &amp; "\n" &amp; D8</f>
        <v>\n\n\n</v>
      </c>
      <c r="D25" s="79"/>
      <c r="E25" s="86" t="str">
        <f>"" &amp; E7 &amp; "\n" &amp; E8 &amp; "\n" &amp; F7 &amp; "\n" &amp; F8</f>
        <v>F9\n\n\n</v>
      </c>
      <c r="F25" s="86"/>
      <c r="G25" s="86" t="str">
        <f>"" &amp; G7 &amp; "\n" &amp; G8 &amp; "\n" &amp; H7 &amp; "\n" &amp; H8</f>
        <v>F8\n\n\n</v>
      </c>
      <c r="H25" s="86"/>
      <c r="I25" s="79" t="str">
        <f>"" &amp; I7 &amp; "\n" &amp; I8 &amp; "\n" &amp; J7 &amp; "\n" &amp; J8</f>
        <v>F7\n\n\n</v>
      </c>
      <c r="J25" s="79"/>
      <c r="K25" s="79" t="str">
        <f>"" &amp; K7 &amp; "\n" &amp; K8 &amp; "\n" &amp; L7 &amp; "\n" &amp; L8</f>
        <v>\n\n\n</v>
      </c>
      <c r="L25" s="79"/>
      <c r="M25" s="79" t="str">
        <f>M7</f>
        <v>SH(F2)</v>
      </c>
      <c r="N25" s="79"/>
      <c r="O25"/>
      <c r="P25"/>
      <c r="Q25" s="79" t="str">
        <f>Q7</f>
        <v>SH(F3)</v>
      </c>
      <c r="R25" s="79"/>
      <c r="S25" s="79" t="str">
        <f>"" &amp; S7 &amp; "\n" &amp; S8 &amp; "\n" &amp; T7 &amp; "\n" &amp; T8</f>
        <v>\n\n\n</v>
      </c>
      <c r="T25" s="79"/>
      <c r="U25" s="79" t="str">
        <f>"" &amp; U7 &amp; "\n" &amp; U8 &amp; "\n" &amp; V7 &amp; "\n" &amp; V8</f>
        <v>F7\n\n\n</v>
      </c>
      <c r="V25" s="79"/>
      <c r="W25" s="79" t="str">
        <f>"" &amp; W7 &amp; "\n" &amp; W8 &amp; "\n" &amp; X7 &amp; "\n" &amp; X8</f>
        <v>F8\n\n\n</v>
      </c>
      <c r="X25" s="79"/>
      <c r="Y25" s="79" t="str">
        <f>"" &amp; Y7 &amp; "\n" &amp; Y8 &amp; "\n" &amp; Z7 &amp; "\n" &amp; Z8</f>
        <v>F9\n\n\n</v>
      </c>
      <c r="Z25" s="79"/>
      <c r="AA25" s="79" t="str">
        <f>"" &amp; AA7 &amp; "\n" &amp; AA8 &amp; "\n" &amp; AB7 &amp; "\n" &amp; AB8</f>
        <v>\n\n\n</v>
      </c>
      <c r="AB25" s="79"/>
      <c r="AC25" s="79" t="str">
        <f>"" &amp; AC7 &amp; "\n" &amp; AC8 &amp; "\n" &amp; AD7 &amp; "\n" &amp; AD8</f>
        <v>\n\n\n</v>
      </c>
      <c r="AD25" s="79"/>
    </row>
    <row r="26" spans="1:30" hidden="1" x14ac:dyDescent="0.25">
      <c r="A26" s="79"/>
      <c r="B26" s="79"/>
      <c r="C26" s="79"/>
      <c r="D26" s="79"/>
      <c r="E26" s="86"/>
      <c r="F26" s="86"/>
      <c r="G26" s="86"/>
      <c r="H26" s="86"/>
      <c r="I26" s="79"/>
      <c r="J26" s="79"/>
      <c r="K26" s="79"/>
      <c r="L26" s="79"/>
      <c r="M26" s="79"/>
      <c r="N26" s="79"/>
      <c r="O26"/>
      <c r="P26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</row>
    <row r="27" spans="1:30" hidden="1" x14ac:dyDescent="0.25">
      <c r="A27" s="79" t="str">
        <f>"" &amp; A9 &amp; "\n" &amp; A10 &amp; "\n" &amp; B9 &amp; "\n" &amp; B10</f>
        <v>\n\n\n</v>
      </c>
      <c r="B27" s="79"/>
      <c r="C27" s="79" t="str">
        <f>"" &amp; C9 &amp; "\n" &amp; C10 &amp; "\n" &amp; D9 &amp; "\n" &amp; D10</f>
        <v>\n\n\n</v>
      </c>
      <c r="D27" s="79"/>
      <c r="E27" s="79" t="str">
        <f>"" &amp; E9 &amp; "\n" &amp; E10 &amp; "\n" &amp; F9 &amp; "\n" &amp; F10</f>
        <v>F6\n\n\n</v>
      </c>
      <c r="F27" s="79"/>
      <c r="G27" s="79" t="str">
        <f>"" &amp; G9 &amp; "\n" &amp; G10 &amp; "\n" &amp; H9 &amp; "\n" &amp; H10</f>
        <v>F5\n\n\n</v>
      </c>
      <c r="H27" s="79"/>
      <c r="I27" s="79" t="str">
        <f>"" &amp; I9 &amp; "\n" &amp; I10 &amp; "\n" &amp; J9 &amp; "\n" &amp; J10</f>
        <v>F4\n\n\n</v>
      </c>
      <c r="J27" s="79"/>
      <c r="K27" s="79" t="str">
        <f>"" &amp; K9 &amp; "\n" &amp; K10 &amp; "\n" &amp; L9 &amp; "\n" &amp; L10</f>
        <v>SH(F8)\n\n\n</v>
      </c>
      <c r="L27" s="79"/>
      <c r="M27" s="79" t="str">
        <f>M10</f>
        <v>SH(F5)</v>
      </c>
      <c r="N27" s="79"/>
      <c r="O27"/>
      <c r="P27"/>
      <c r="Q27" s="79" t="str">
        <f>Q10</f>
        <v>SH(F7)</v>
      </c>
      <c r="R27" s="79"/>
      <c r="S27" s="79" t="str">
        <f>"" &amp; S9 &amp; "\n" &amp; S10 &amp; "\n" &amp; T9 &amp; "\n" &amp; T10</f>
        <v>SH(F9)\n\n\n</v>
      </c>
      <c r="T27" s="79"/>
      <c r="U27" s="79" t="str">
        <f>"" &amp; U9 &amp; "\n" &amp; U10 &amp; "\n" &amp; V9 &amp; "\n" &amp; V10</f>
        <v>F4\n\n\n</v>
      </c>
      <c r="V27" s="79"/>
      <c r="W27" s="79" t="str">
        <f>"" &amp; W9 &amp; "\n" &amp; W10 &amp; "\n" &amp; X9 &amp; "\n" &amp; X10</f>
        <v>F5\n\n\n</v>
      </c>
      <c r="X27" s="79"/>
      <c r="Y27" s="79" t="str">
        <f>"" &amp; Y9 &amp; "\n" &amp; Y10 &amp; "\n" &amp; Z9 &amp; "\n" &amp; Z10</f>
        <v>F6\n\n\n</v>
      </c>
      <c r="Z27" s="79"/>
      <c r="AA27" s="79" t="str">
        <f>"" &amp; AA9 &amp; "\n" &amp; AA10 &amp; "\n" &amp; AB9 &amp; "\n" &amp; AB10</f>
        <v>\n\n\n</v>
      </c>
      <c r="AB27" s="79"/>
      <c r="AC27" s="79" t="str">
        <f>"" &amp; AC9 &amp; "\n" &amp; AC10 &amp; "\n" &amp; AD9 &amp; "\n" &amp; AD10</f>
        <v>\n\n\n</v>
      </c>
      <c r="AD27" s="79"/>
    </row>
    <row r="28" spans="1:30" hidden="1" x14ac:dyDescent="0.25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/>
      <c r="P28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</row>
    <row r="29" spans="1:30" hidden="1" x14ac:dyDescent="0.25">
      <c r="A29" s="79" t="str">
        <f>"" &amp; A11 &amp; "\n" &amp; A12 &amp; "\n" &amp; B11 &amp; "\n" &amp; B12</f>
        <v>\n\n\n</v>
      </c>
      <c r="B29" s="79"/>
      <c r="C29" s="79" t="str">
        <f>"" &amp; C11 &amp; "\n" &amp; C12 &amp; "\n" &amp; D11 &amp; "\n" &amp; D12</f>
        <v>\n\n\n</v>
      </c>
      <c r="D29" s="79"/>
      <c r="E29" s="79" t="str">
        <f>"" &amp; E11 &amp; "\n" &amp; E12 &amp; "\n" &amp; F11 &amp; "\n" &amp; F12</f>
        <v>F3\n\n\n</v>
      </c>
      <c r="F29" s="79"/>
      <c r="G29" s="79" t="str">
        <f>"" &amp; G11 &amp; "\n" &amp; G12 &amp; "\n" &amp; H11 &amp; "\n" &amp; H12</f>
        <v>F2\n\n\n</v>
      </c>
      <c r="H29" s="79"/>
      <c r="I29" s="79" t="str">
        <f>"" &amp; I11 &amp; "\n" &amp; I12 &amp; "\n" &amp; J11 &amp; "\n" &amp; J12</f>
        <v>F1\n\n\n</v>
      </c>
      <c r="J29" s="79"/>
      <c r="K29" s="79" t="str">
        <f>"" &amp; K11 &amp; "\n" &amp; K12 &amp; "\n" &amp; L11 &amp; "\n" &amp; L12</f>
        <v>\n\n\n</v>
      </c>
      <c r="L29" s="79"/>
      <c r="M29" s="79"/>
      <c r="N29" s="79"/>
      <c r="O29"/>
      <c r="P29"/>
      <c r="Q29" s="79"/>
      <c r="R29" s="79"/>
      <c r="S29" s="79" t="str">
        <f>"" &amp; S11 &amp; "\n" &amp; S12 &amp; "\n" &amp; T11 &amp; "\n" &amp; T12</f>
        <v>\n\n\n</v>
      </c>
      <c r="T29" s="79"/>
      <c r="U29" s="79" t="str">
        <f>"" &amp; U11 &amp; "\n" &amp; U12 &amp; "\n" &amp; V11 &amp; "\n" &amp; V12</f>
        <v>F1\n\n\n</v>
      </c>
      <c r="V29" s="79"/>
      <c r="W29" s="79" t="str">
        <f>"" &amp; W11 &amp; "\n" &amp; W12 &amp; "\n" &amp; X11 &amp; "\n" &amp; X12</f>
        <v>F2\n\n\n</v>
      </c>
      <c r="X29" s="79"/>
      <c r="Y29" s="79" t="str">
        <f>"" &amp; Y11 &amp; "\n" &amp; Y12 &amp; "\n" &amp; Z11 &amp; "\n" &amp; Z12</f>
        <v>F3\n\n\n</v>
      </c>
      <c r="Z29" s="79"/>
      <c r="AA29" s="79" t="str">
        <f>"" &amp; AA11 &amp; "\n" &amp; AA12 &amp; "\n" &amp; AB11 &amp; "\n" &amp; AB12</f>
        <v>\n\n\n</v>
      </c>
      <c r="AB29" s="79"/>
      <c r="AC29" s="79" t="str">
        <f>"" &amp; AC11 &amp; "\n" &amp; AC12 &amp; "\n" &amp; AD11 &amp; "\n" &amp; AD12</f>
        <v>\n\n\n</v>
      </c>
      <c r="AD29" s="79"/>
    </row>
    <row r="30" spans="1:30" hidden="1" x14ac:dyDescent="0.25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/>
      <c r="P30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  <c r="AB30" s="79"/>
      <c r="AC30" s="79"/>
      <c r="AD30" s="79"/>
    </row>
    <row r="31" spans="1:30" hidden="1" x14ac:dyDescent="0.25">
      <c r="A31" s="79" t="str">
        <f>"" &amp; A13 &amp; "\n" &amp; A14 &amp; "\n" &amp; B13 &amp; "\n" &amp; B14</f>
        <v>CtrlG\n\n\n</v>
      </c>
      <c r="B31" s="79"/>
      <c r="C31" s="79" t="str">
        <f>"" &amp; C13 &amp; "\n" &amp; C14 &amp; "\n" &amp; D13 &amp; "\n" &amp; D14</f>
        <v>Alt\n\n\n</v>
      </c>
      <c r="D31" s="79"/>
      <c r="E31" s="79" t="str">
        <f>"" &amp; E13 &amp; "\n" &amp; E14 &amp; "\n" &amp; F13 &amp; "\n" &amp; F14</f>
        <v>GUIL\n\n\n</v>
      </c>
      <c r="F31" s="79"/>
      <c r="G31" s="79" t="str">
        <f>"" &amp; G13 &amp; "\n" &amp; G14 &amp; "\n" &amp; H13 &amp; "\n" &amp; H14</f>
        <v>Alt Gr\n\n\n</v>
      </c>
      <c r="H31" s="79"/>
      <c r="I31" s="79" t="str">
        <f>"" &amp; I13 &amp; "\n" &amp; I14 &amp; "\n" &amp; J13 &amp; "\n" &amp; J14</f>
        <v>ShiftG\n\n\n</v>
      </c>
      <c r="J31" s="79"/>
      <c r="K31" s="79"/>
      <c r="L31" s="79"/>
      <c r="M31" s="79"/>
      <c r="N31" s="79"/>
      <c r="O31"/>
      <c r="P31"/>
      <c r="Q31" s="79"/>
      <c r="R31" s="79"/>
      <c r="S31" s="79"/>
      <c r="T31" s="79"/>
      <c r="U31" s="79" t="str">
        <f>"" &amp; U13 &amp; "\n" &amp; U14 &amp; "\n" &amp; V13 &amp; "\n" &amp; V14</f>
        <v>\n\n\n</v>
      </c>
      <c r="V31" s="79"/>
      <c r="W31" s="79" t="str">
        <f>"" &amp; W13 &amp; "\n" &amp; W14 &amp; "\n" &amp; X13 &amp; "\n" &amp; X14</f>
        <v>Alt Gr\n\n\n</v>
      </c>
      <c r="X31" s="79"/>
      <c r="Y31" s="79" t="str">
        <f>"" &amp; Y13 &amp; "\n" &amp; Y14 &amp; "\n" &amp; Z13 &amp; "\n" &amp; Z14</f>
        <v>GUID\n\n\n</v>
      </c>
      <c r="Z31" s="79"/>
      <c r="AA31" s="79" t="str">
        <f>"" &amp; AA13 &amp; "\n" &amp; AA14 &amp; "\n" &amp; AB13 &amp; "\n" &amp; AB14</f>
        <v>Alt\n\n\n</v>
      </c>
      <c r="AB31" s="79"/>
      <c r="AC31" s="79" t="str">
        <f>"" &amp; AC13 &amp; "\n" &amp; AC14 &amp; "\n" &amp; AD13 &amp; "\n" &amp; AD14</f>
        <v>CtrlD\n\n\n</v>
      </c>
      <c r="AD31" s="79"/>
    </row>
    <row r="32" spans="1:30" hidden="1" x14ac:dyDescent="0.25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</row>
    <row r="33" spans="1:36" hidden="1" x14ac:dyDescent="0.25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</row>
    <row r="34" spans="1:36" ht="15.75" thickBot="1" x14ac:dyDescent="0.3"/>
    <row r="35" spans="1:36" ht="15.75" thickBot="1" x14ac:dyDescent="0.3">
      <c r="A35" s="80" t="s">
        <v>594</v>
      </c>
      <c r="B35" s="81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81"/>
      <c r="N35" s="82"/>
      <c r="P35" s="83" t="s">
        <v>595</v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  <c r="AI35" s="84"/>
      <c r="AJ35" s="85"/>
    </row>
    <row r="36" spans="1:36" x14ac:dyDescent="0.25">
      <c r="A36" s="25" t="str">
        <f>"[{x:3.5},"""&amp;G23&amp;""",{x:10.5},"""&amp;W23&amp;"""],"</f>
        <v>[{x:3.5},"F11\n\n\n",{x:10.5},"F11\n\n\n"],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76" t="s">
        <v>722</v>
      </c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8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[{y:-0.875,x:2.5},"F12\n\n\n",{x:1},"F10\n\n\n",{x:8.5},"F10\n\n\n",{x:1},"F12\n\n\n"],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70" t="s">
        <v>45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2"/>
    </row>
    <row r="38" spans="1:36" x14ac:dyDescent="0.25">
      <c r="A38" s="25" t="str">
        <f>"[{y:-0.875,x:5.5},""" &amp; K23 &amp; """,""" &amp; M23 &amp;""",{x:4.5},"""&amp; Q23 &amp; """,""" &amp; S23 &amp; """],"</f>
        <v>[{y:-0.875,x:5.5},"\n\n\n","\n\n\n",{x:4.5},"Del\n\n\n","\n\n\n"],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70" t="s">
        <v>567</v>
      </c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2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70" t="s">
        <v>705</v>
      </c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2"/>
    </row>
    <row r="40" spans="1:36" x14ac:dyDescent="0.25">
      <c r="A40" s="25" t="str">
        <f>"[{y:-0.375,x:3.5},""" &amp; G25 &amp; """,{x:10.5},""" &amp; W25&amp;"""],"</f>
        <v>[{y:-0.375,x:3.5},"F8\n\n\n",{x:10.5},"F8\n\n\n"],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70" t="s">
        <v>598</v>
      </c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2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[{y:-0.875,x:2.5},"F9\n\n\n",{x:1},"F7\n\n\n",{x:8.5},"F7\n\n\n",{x:1},"F9\n\n\n"],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70" t="s">
        <v>708</v>
      </c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2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,{h:1.5},"SH(F2)",{x:4.5,h:1.5},"SH(F3)","\n\n\n"],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70" t="s">
        <v>568</v>
      </c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2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70" t="s">
        <v>711</v>
      </c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2"/>
    </row>
    <row r="44" spans="1:36" x14ac:dyDescent="0.25">
      <c r="A44" s="25" t="str">
        <f>"[{y:-0.375,x:3.5},""" &amp; G27&amp; """,{x:10.5},""" &amp; W27&amp; """],"</f>
        <v>[{y:-0.375,x:3.5},"F5\n\n\n",{x:10.5},"F5\n\n\n"],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70" t="s">
        <v>568</v>
      </c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2"/>
    </row>
    <row r="45" spans="1:36" x14ac:dyDescent="0.25">
      <c r="A45" s="25" t="str">
        <f>"[{y:-0.875,x:2.5},""" &amp;E27&amp; """,{x:1},""" &amp;I27&amp; """,{x:8.5},""" &amp;U27&amp; """,{x:1},""" &amp;Y27&amp; """],"</f>
        <v>[{y:-0.875,x:2.5},"F6\n\n\n",{x:1},"F4\n\n\n",{x:8.5},"F4\n\n\n",{x:1},"F6\n\n\n"],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70" t="s">
        <v>714</v>
      </c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2"/>
    </row>
    <row r="46" spans="1:36" x14ac:dyDescent="0.25">
      <c r="A46" s="25" t="str">
        <f>"[{y:-0.875,x:5.5},""" &amp; K27 &amp;""",{x:6.5},""" &amp; S27 &amp; """],"</f>
        <v>[{y:-0.875,x:5.5},"SH(F8)\n\n\n",{x:6.5},"SH(F9)\n\n\n"],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70" t="s">
        <v>569</v>
      </c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2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70" t="s">
        <v>697</v>
      </c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2"/>
    </row>
    <row r="48" spans="1:36" x14ac:dyDescent="0.25">
      <c r="A48" s="25" t="str">
        <f>"[{y:-0.625,x:6.5,h:1.5},""" &amp; M27 &amp; """,{x:4.5,h:1.5},""" &amp; Q27 &amp; """],"</f>
        <v>[{y:-0.625,x:6.5,h:1.5},"SH(F5)",{x:4.5,h:1.5},"SH(F7)"],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70" t="s">
        <v>570</v>
      </c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2"/>
    </row>
    <row r="49" spans="1:36" x14ac:dyDescent="0.25">
      <c r="A49" s="25" t="str">
        <f>"[{y:-0.75,x:3.5},""" &amp; G29 &amp; """,{x:10.5},""" &amp; W29 &amp; """],"</f>
        <v>[{y:-0.75,x:3.5},"F2\n\n\n",{x:10.5},"F2\n\n\n"],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70" t="s">
        <v>571</v>
      </c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2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[{y:-0.875,x:2.5},"F3\n\n\n",{x:1},"F1\n\n\n",{x:8.5},"F1\n\n\n",{x:1},"F3\n\n\n"],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70" t="s">
        <v>647</v>
      </c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2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70" t="s">
        <v>600</v>
      </c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2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70" t="s">
        <v>601</v>
      </c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2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70" t="s">
        <v>602</v>
      </c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2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70" t="s">
        <v>717</v>
      </c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  <c r="AH54" s="71"/>
      <c r="AI54" s="71"/>
      <c r="AJ54" s="72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70" t="s">
        <v>603</v>
      </c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2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70" t="s">
        <v>572</v>
      </c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2"/>
    </row>
    <row r="57" spans="1:36" x14ac:dyDescent="0.25">
      <c r="A57" s="25" t="str">
        <f>"[{h:2},""" &amp;I18&amp; """,{h:2},""" &amp;K18&amp; """,""" &amp;M18&amp; """],"</f>
        <v>[{h:2},"F5",{h:2},"ShiftG",""],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70" t="s">
        <v>725</v>
      </c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71"/>
      <c r="AJ57" s="72"/>
    </row>
    <row r="58" spans="1:36" x14ac:dyDescent="0.25">
      <c r="A58" s="25" t="str">
        <f>"[{x:2},""" &amp;M20&amp;"""],"</f>
        <v>[{x:2},"F8"],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70" t="s">
        <v>573</v>
      </c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2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70" t="s">
        <v>704</v>
      </c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71"/>
      <c r="AI59" s="71"/>
      <c r="AJ59" s="72"/>
    </row>
    <row r="60" spans="1:36" x14ac:dyDescent="0.25">
      <c r="A60" s="25" t="str">
        <f>"[{x:-3},""" &amp;Q18&amp; """,{h:2},""" &amp;S18&amp; """,{h:2},""" &amp;U18&amp; """],"</f>
        <v>[{x:-3},"",{h:2},"Paste",{h:2},"F8"],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70" t="s">
        <v>707</v>
      </c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2"/>
    </row>
    <row r="61" spans="1:36" ht="15.75" thickBot="1" x14ac:dyDescent="0.3">
      <c r="A61" s="28" t="str">
        <f>"[{x:-3},"""&amp;Q20&amp;"""]"</f>
        <v>[{x:-3},""]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70" t="s">
        <v>710</v>
      </c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  <c r="AH61" s="71"/>
      <c r="AI61" s="71"/>
      <c r="AJ61" s="72"/>
    </row>
    <row r="62" spans="1:36" x14ac:dyDescent="0.25">
      <c r="P62" s="70" t="s">
        <v>713</v>
      </c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2"/>
    </row>
    <row r="63" spans="1:36" x14ac:dyDescent="0.25">
      <c r="P63" s="70" t="s">
        <v>589</v>
      </c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2"/>
    </row>
    <row r="64" spans="1:36" x14ac:dyDescent="0.25">
      <c r="P64" s="70" t="s">
        <v>640</v>
      </c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2"/>
    </row>
    <row r="65" spans="16:36" x14ac:dyDescent="0.25">
      <c r="P65" s="70" t="s">
        <v>611</v>
      </c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2"/>
    </row>
    <row r="66" spans="16:36" x14ac:dyDescent="0.25">
      <c r="P66" s="70" t="s">
        <v>716</v>
      </c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2"/>
    </row>
    <row r="67" spans="16:36" x14ac:dyDescent="0.25">
      <c r="P67" s="70" t="s">
        <v>574</v>
      </c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  <c r="AH67" s="71"/>
      <c r="AI67" s="71"/>
      <c r="AJ67" s="72"/>
    </row>
    <row r="68" spans="16:36" x14ac:dyDescent="0.25">
      <c r="P68" s="70" t="s">
        <v>706</v>
      </c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  <c r="AH68" s="71"/>
      <c r="AI68" s="71"/>
      <c r="AJ68" s="72"/>
    </row>
    <row r="69" spans="16:36" x14ac:dyDescent="0.25">
      <c r="P69" s="70" t="s">
        <v>709</v>
      </c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  <c r="AH69" s="71"/>
      <c r="AI69" s="71"/>
      <c r="AJ69" s="72"/>
    </row>
    <row r="70" spans="16:36" x14ac:dyDescent="0.25">
      <c r="P70" s="70" t="s">
        <v>712</v>
      </c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2"/>
    </row>
    <row r="71" spans="16:36" x14ac:dyDescent="0.25">
      <c r="P71" s="70" t="s">
        <v>715</v>
      </c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2"/>
    </row>
    <row r="72" spans="16:36" x14ac:dyDescent="0.25">
      <c r="P72" s="70" t="s">
        <v>696</v>
      </c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  <c r="AH72" s="71"/>
      <c r="AI72" s="71"/>
      <c r="AJ72" s="72"/>
    </row>
    <row r="73" spans="16:36" x14ac:dyDescent="0.25">
      <c r="P73" s="70" t="s">
        <v>590</v>
      </c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  <c r="AH73" s="71"/>
      <c r="AI73" s="71"/>
      <c r="AJ73" s="72"/>
    </row>
    <row r="74" spans="16:36" x14ac:dyDescent="0.25">
      <c r="P74" s="70" t="s">
        <v>612</v>
      </c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  <c r="AH74" s="71"/>
      <c r="AI74" s="71"/>
      <c r="AJ74" s="72"/>
    </row>
    <row r="75" spans="16:36" x14ac:dyDescent="0.25">
      <c r="P75" s="70" t="s">
        <v>718</v>
      </c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  <c r="AH75" s="71"/>
      <c r="AI75" s="71"/>
      <c r="AJ75" s="72"/>
    </row>
    <row r="76" spans="16:36" ht="15.75" thickBot="1" x14ac:dyDescent="0.3">
      <c r="P76" s="73" t="s">
        <v>617</v>
      </c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5"/>
    </row>
  </sheetData>
  <mergeCells count="192"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</mergeCells>
  <hyperlinks>
    <hyperlink ref="A35" r:id="rId1" display="http://www.keyboard-layout-editor.com" xr:uid="{00000000-0004-0000-05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"/>
  <dimension ref="A1:AA91"/>
  <sheetViews>
    <sheetView tabSelected="1" topLeftCell="A3" workbookViewId="0">
      <selection activeCell="J6" sqref="J6"/>
    </sheetView>
  </sheetViews>
  <sheetFormatPr baseColWidth="10" defaultRowHeight="15" x14ac:dyDescent="0.25"/>
  <cols>
    <col min="1" max="1" width="6.85546875" customWidth="1"/>
    <col min="2" max="27" width="6" customWidth="1"/>
  </cols>
  <sheetData>
    <row r="1" spans="1:27" ht="23.1" hidden="1" customHeight="1" x14ac:dyDescent="0.25">
      <c r="A1" s="113" t="s">
        <v>0</v>
      </c>
      <c r="B1" s="2"/>
      <c r="C1" s="3"/>
      <c r="D1" s="2">
        <v>1</v>
      </c>
      <c r="E1" s="4"/>
      <c r="F1" s="2">
        <v>2</v>
      </c>
      <c r="G1" s="4"/>
      <c r="H1" s="2">
        <v>3</v>
      </c>
      <c r="I1" s="4"/>
      <c r="J1" s="2">
        <v>4</v>
      </c>
      <c r="K1" s="4"/>
      <c r="L1" s="2">
        <v>5</v>
      </c>
      <c r="M1" s="4"/>
      <c r="N1" s="2">
        <v>6</v>
      </c>
      <c r="O1" s="4"/>
      <c r="P1" s="2">
        <v>7</v>
      </c>
      <c r="Q1" s="4"/>
      <c r="R1" s="2">
        <v>8</v>
      </c>
      <c r="S1" s="4"/>
      <c r="T1" s="2">
        <v>9</v>
      </c>
      <c r="U1" s="4"/>
      <c r="V1" s="2">
        <v>0</v>
      </c>
      <c r="W1" s="4"/>
      <c r="X1" s="2" t="s">
        <v>39</v>
      </c>
      <c r="Y1" s="4"/>
      <c r="Z1" s="2" t="s">
        <v>41</v>
      </c>
      <c r="AA1" s="4"/>
    </row>
    <row r="2" spans="1:27" ht="23.1" hidden="1" customHeight="1" thickBot="1" x14ac:dyDescent="0.3">
      <c r="A2" s="114"/>
      <c r="B2" s="6" t="s">
        <v>17</v>
      </c>
      <c r="C2" s="7"/>
      <c r="D2" s="6" t="s">
        <v>18</v>
      </c>
      <c r="E2" s="8"/>
      <c r="F2" s="6" t="s">
        <v>19</v>
      </c>
      <c r="G2" s="8" t="s">
        <v>33</v>
      </c>
      <c r="H2" s="6" t="s">
        <v>20</v>
      </c>
      <c r="I2" s="8" t="s">
        <v>31</v>
      </c>
      <c r="J2" s="9" t="s">
        <v>21</v>
      </c>
      <c r="K2" s="8" t="s">
        <v>34</v>
      </c>
      <c r="L2" s="6" t="s">
        <v>22</v>
      </c>
      <c r="M2" s="8" t="s">
        <v>35</v>
      </c>
      <c r="N2" s="6" t="s">
        <v>23</v>
      </c>
      <c r="O2" s="8" t="s">
        <v>36</v>
      </c>
      <c r="P2" s="6" t="s">
        <v>24</v>
      </c>
      <c r="Q2" s="8" t="s">
        <v>30</v>
      </c>
      <c r="R2" s="6" t="s">
        <v>25</v>
      </c>
      <c r="S2" s="8" t="s">
        <v>37</v>
      </c>
      <c r="T2" s="6" t="s">
        <v>26</v>
      </c>
      <c r="U2" s="8" t="s">
        <v>15</v>
      </c>
      <c r="V2" s="6" t="s">
        <v>27</v>
      </c>
      <c r="W2" s="8" t="s">
        <v>38</v>
      </c>
      <c r="X2" s="6" t="s">
        <v>28</v>
      </c>
      <c r="Y2" s="8" t="s">
        <v>40</v>
      </c>
      <c r="Z2" s="6" t="s">
        <v>29</v>
      </c>
      <c r="AA2" s="8" t="s">
        <v>42</v>
      </c>
    </row>
    <row r="3" spans="1:27" ht="23.1" customHeight="1" x14ac:dyDescent="0.25">
      <c r="A3" s="113" t="s">
        <v>1</v>
      </c>
      <c r="B3" s="2" t="s">
        <v>33</v>
      </c>
      <c r="C3" s="3"/>
      <c r="D3" s="2" t="s">
        <v>69</v>
      </c>
      <c r="E3" s="4"/>
      <c r="F3" s="2" t="s">
        <v>38</v>
      </c>
      <c r="G3" s="4"/>
      <c r="H3" s="2" t="s">
        <v>31</v>
      </c>
      <c r="I3" s="4"/>
      <c r="J3" s="2" t="s">
        <v>16</v>
      </c>
      <c r="K3" s="4"/>
      <c r="L3" s="2" t="s">
        <v>46</v>
      </c>
      <c r="M3" s="4"/>
      <c r="N3" s="2" t="s">
        <v>15</v>
      </c>
      <c r="O3" s="4"/>
      <c r="P3" s="2" t="s">
        <v>18</v>
      </c>
      <c r="Q3" s="4"/>
      <c r="R3" s="2" t="s">
        <v>45</v>
      </c>
      <c r="S3" s="4"/>
      <c r="T3" s="2" t="s">
        <v>22</v>
      </c>
      <c r="U3" s="4"/>
      <c r="V3" s="2" t="s">
        <v>28</v>
      </c>
      <c r="W3" s="4"/>
      <c r="X3" s="2" t="s">
        <v>25</v>
      </c>
      <c r="Y3" s="4"/>
      <c r="Z3" s="2" t="s">
        <v>41</v>
      </c>
      <c r="AA3" s="4"/>
    </row>
    <row r="4" spans="1:27" ht="23.1" customHeight="1" thickBot="1" x14ac:dyDescent="0.3">
      <c r="A4" s="114"/>
      <c r="B4" s="6" t="s">
        <v>30</v>
      </c>
      <c r="C4" s="7"/>
      <c r="D4" s="6">
        <v>1</v>
      </c>
      <c r="E4" s="8"/>
      <c r="F4" s="6">
        <v>2</v>
      </c>
      <c r="G4" s="8"/>
      <c r="H4" s="6">
        <v>3</v>
      </c>
      <c r="I4" s="8"/>
      <c r="J4" s="6">
        <v>4</v>
      </c>
      <c r="K4" s="8"/>
      <c r="L4" s="6">
        <v>5</v>
      </c>
      <c r="M4" s="8"/>
      <c r="N4" s="6">
        <v>6</v>
      </c>
      <c r="O4" s="8"/>
      <c r="P4" s="6">
        <v>7</v>
      </c>
      <c r="Q4" s="8"/>
      <c r="R4" s="6">
        <v>8</v>
      </c>
      <c r="S4" s="8"/>
      <c r="T4" s="6">
        <v>9</v>
      </c>
      <c r="U4" s="8"/>
      <c r="V4" s="6">
        <v>0</v>
      </c>
      <c r="W4" s="8"/>
      <c r="X4" s="6" t="s">
        <v>23</v>
      </c>
      <c r="Y4" s="8"/>
      <c r="Z4" s="6" t="s">
        <v>29</v>
      </c>
      <c r="AA4" s="8"/>
    </row>
    <row r="5" spans="1:27" ht="23.1" customHeight="1" x14ac:dyDescent="0.25">
      <c r="A5" s="113" t="s">
        <v>2</v>
      </c>
      <c r="B5" s="2" t="s">
        <v>31</v>
      </c>
      <c r="C5" s="3" t="s">
        <v>57</v>
      </c>
      <c r="D5" s="2">
        <v>1</v>
      </c>
      <c r="E5" s="4" t="s">
        <v>58</v>
      </c>
      <c r="F5" s="2">
        <v>2</v>
      </c>
      <c r="G5" s="4" t="s">
        <v>59</v>
      </c>
      <c r="H5" s="2">
        <v>3</v>
      </c>
      <c r="I5" s="4" t="s">
        <v>60</v>
      </c>
      <c r="J5" s="2">
        <v>4</v>
      </c>
      <c r="K5" s="4" t="s">
        <v>61</v>
      </c>
      <c r="L5" s="2">
        <v>5</v>
      </c>
      <c r="M5" s="4" t="s">
        <v>62</v>
      </c>
      <c r="N5" s="2">
        <v>6</v>
      </c>
      <c r="O5" s="4"/>
      <c r="P5" s="2">
        <v>7</v>
      </c>
      <c r="Q5" s="4" t="s">
        <v>63</v>
      </c>
      <c r="R5" s="2">
        <v>8</v>
      </c>
      <c r="S5" s="4" t="s">
        <v>64</v>
      </c>
      <c r="T5" s="2">
        <v>9</v>
      </c>
      <c r="U5" s="4" t="s">
        <v>65</v>
      </c>
      <c r="V5" s="2">
        <v>0</v>
      </c>
      <c r="W5" s="4" t="s">
        <v>66</v>
      </c>
      <c r="X5" s="2" t="s">
        <v>39</v>
      </c>
      <c r="Y5" s="4" t="s">
        <v>67</v>
      </c>
      <c r="Z5" s="2" t="s">
        <v>30</v>
      </c>
      <c r="AA5" s="4" t="s">
        <v>68</v>
      </c>
    </row>
    <row r="6" spans="1:27" ht="23.1" customHeight="1" thickBot="1" x14ac:dyDescent="0.3">
      <c r="A6" s="114"/>
      <c r="B6" s="38" t="s">
        <v>16</v>
      </c>
      <c r="C6" s="7" t="s">
        <v>48</v>
      </c>
      <c r="D6" s="39" t="s">
        <v>220</v>
      </c>
      <c r="E6" s="8" t="s">
        <v>49</v>
      </c>
      <c r="F6" s="38" t="s">
        <v>44</v>
      </c>
      <c r="G6" s="8" t="s">
        <v>32</v>
      </c>
      <c r="H6" s="38" t="s">
        <v>43</v>
      </c>
      <c r="I6" s="8" t="s">
        <v>50</v>
      </c>
      <c r="J6" s="38" t="s">
        <v>22</v>
      </c>
      <c r="K6" s="8" t="s">
        <v>35</v>
      </c>
      <c r="L6" s="38" t="s">
        <v>28</v>
      </c>
      <c r="M6" s="8" t="s">
        <v>40</v>
      </c>
      <c r="N6" s="38" t="s">
        <v>38</v>
      </c>
      <c r="O6" s="8" t="s">
        <v>15</v>
      </c>
      <c r="P6" s="38" t="s">
        <v>41</v>
      </c>
      <c r="Q6" s="8" t="s">
        <v>51</v>
      </c>
      <c r="R6" s="38" t="s">
        <v>23</v>
      </c>
      <c r="S6" s="8" t="s">
        <v>52</v>
      </c>
      <c r="T6" s="38" t="s">
        <v>47</v>
      </c>
      <c r="U6" s="8" t="s">
        <v>53</v>
      </c>
      <c r="V6" s="38" t="s">
        <v>45</v>
      </c>
      <c r="W6" s="8" t="s">
        <v>54</v>
      </c>
      <c r="X6" s="38" t="s">
        <v>29</v>
      </c>
      <c r="Y6" s="8" t="s">
        <v>55</v>
      </c>
      <c r="Z6" s="38" t="s">
        <v>46</v>
      </c>
      <c r="AA6" s="8" t="s">
        <v>56</v>
      </c>
    </row>
    <row r="7" spans="1:27" ht="23.1" customHeight="1" x14ac:dyDescent="0.25">
      <c r="A7" s="113" t="s">
        <v>194</v>
      </c>
      <c r="B7" s="115" t="s">
        <v>169</v>
      </c>
      <c r="C7" s="116"/>
      <c r="D7" s="115" t="s">
        <v>170</v>
      </c>
      <c r="E7" s="116"/>
      <c r="F7" s="115" t="s">
        <v>171</v>
      </c>
      <c r="G7" s="116"/>
      <c r="H7" s="115" t="s">
        <v>172</v>
      </c>
      <c r="I7" s="116"/>
      <c r="J7" s="115" t="s">
        <v>173</v>
      </c>
      <c r="K7" s="116"/>
      <c r="L7" s="115" t="s">
        <v>174</v>
      </c>
      <c r="M7" s="116"/>
      <c r="N7" s="115" t="s">
        <v>175</v>
      </c>
      <c r="O7" s="116"/>
      <c r="P7" s="115" t="s">
        <v>176</v>
      </c>
      <c r="Q7" s="116"/>
      <c r="R7" s="115" t="s">
        <v>177</v>
      </c>
      <c r="S7" s="116"/>
      <c r="T7" s="115" t="s">
        <v>178</v>
      </c>
      <c r="U7" s="116"/>
      <c r="V7" s="115" t="s">
        <v>179</v>
      </c>
      <c r="W7" s="116"/>
      <c r="X7" s="115" t="s">
        <v>180</v>
      </c>
      <c r="Y7" s="116"/>
      <c r="Z7" s="115" t="s">
        <v>181</v>
      </c>
      <c r="AA7" s="116"/>
    </row>
    <row r="8" spans="1:27" ht="23.1" customHeight="1" thickBot="1" x14ac:dyDescent="0.3">
      <c r="A8" s="114"/>
      <c r="B8" s="117"/>
      <c r="C8" s="118"/>
      <c r="D8" s="117"/>
      <c r="E8" s="118"/>
      <c r="F8" s="117"/>
      <c r="G8" s="118"/>
      <c r="H8" s="117"/>
      <c r="I8" s="118"/>
      <c r="J8" s="117"/>
      <c r="K8" s="118"/>
      <c r="L8" s="117"/>
      <c r="M8" s="118"/>
      <c r="N8" s="117"/>
      <c r="O8" s="118"/>
      <c r="P8" s="117"/>
      <c r="Q8" s="118"/>
      <c r="R8" s="117"/>
      <c r="S8" s="118"/>
      <c r="T8" s="117"/>
      <c r="U8" s="118"/>
      <c r="V8" s="117"/>
      <c r="W8" s="118"/>
      <c r="X8" s="117"/>
      <c r="Y8" s="118"/>
      <c r="Z8" s="117"/>
      <c r="AA8" s="118"/>
    </row>
    <row r="9" spans="1:27" ht="23.1" customHeight="1" thickBot="1" x14ac:dyDescent="0.3">
      <c r="A9" s="1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23.1" customHeight="1" x14ac:dyDescent="0.25">
      <c r="A10" s="113" t="s">
        <v>0</v>
      </c>
      <c r="B10" s="2" t="s">
        <v>3</v>
      </c>
      <c r="C10" s="3"/>
      <c r="D10" s="2" t="s">
        <v>4</v>
      </c>
      <c r="E10" s="4"/>
      <c r="F10" s="2" t="s">
        <v>74</v>
      </c>
      <c r="G10" s="4"/>
      <c r="H10" s="2" t="s">
        <v>75</v>
      </c>
      <c r="I10" s="4"/>
      <c r="J10" s="2" t="s">
        <v>76</v>
      </c>
      <c r="K10" s="4"/>
      <c r="L10" s="2" t="s">
        <v>77</v>
      </c>
      <c r="M10" s="4"/>
      <c r="N10" s="2" t="s">
        <v>78</v>
      </c>
      <c r="O10" s="4"/>
      <c r="P10" s="2" t="s">
        <v>79</v>
      </c>
      <c r="Q10" s="4"/>
      <c r="R10" s="2" t="s">
        <v>80</v>
      </c>
      <c r="S10" s="4"/>
      <c r="T10" s="2" t="s">
        <v>81</v>
      </c>
      <c r="U10" s="4"/>
      <c r="V10" s="2" t="s">
        <v>82</v>
      </c>
      <c r="W10" s="4"/>
      <c r="X10" s="2" t="s">
        <v>83</v>
      </c>
      <c r="Y10" s="4"/>
      <c r="Z10" s="2"/>
      <c r="AA10" s="4"/>
    </row>
    <row r="11" spans="1:27" ht="23.1" customHeight="1" thickBot="1" x14ac:dyDescent="0.3">
      <c r="A11" s="114"/>
      <c r="B11" s="6" t="s">
        <v>5</v>
      </c>
      <c r="C11" s="7"/>
      <c r="D11" s="6" t="s">
        <v>6</v>
      </c>
      <c r="E11" s="8"/>
      <c r="F11" s="13" t="s">
        <v>7</v>
      </c>
      <c r="G11" s="8"/>
      <c r="H11" s="6" t="s">
        <v>8</v>
      </c>
      <c r="I11" s="8"/>
      <c r="J11" s="6" t="s">
        <v>9</v>
      </c>
      <c r="K11" s="8"/>
      <c r="L11" s="6" t="s">
        <v>10</v>
      </c>
      <c r="M11" s="8"/>
      <c r="N11" s="6" t="s">
        <v>11</v>
      </c>
      <c r="O11" s="8"/>
      <c r="P11" s="6" t="s">
        <v>12</v>
      </c>
      <c r="Q11" s="8"/>
      <c r="R11" s="6" t="s">
        <v>13</v>
      </c>
      <c r="S11" s="8"/>
      <c r="T11" s="6" t="s">
        <v>14</v>
      </c>
      <c r="U11" s="8"/>
      <c r="V11" s="6" t="s">
        <v>15</v>
      </c>
      <c r="W11" s="8"/>
      <c r="X11" s="6" t="s">
        <v>16</v>
      </c>
      <c r="Y11" s="8" t="s">
        <v>111</v>
      </c>
      <c r="Z11" s="6"/>
      <c r="AA11" s="8"/>
    </row>
    <row r="12" spans="1:27" ht="23.1" customHeight="1" x14ac:dyDescent="0.25">
      <c r="A12" s="113" t="s">
        <v>1</v>
      </c>
      <c r="B12" s="2" t="s">
        <v>72</v>
      </c>
      <c r="C12" s="3"/>
      <c r="D12" s="2" t="s">
        <v>73</v>
      </c>
      <c r="E12" s="4"/>
      <c r="F12" s="2" t="s">
        <v>74</v>
      </c>
      <c r="G12" s="4"/>
      <c r="H12" s="2" t="s">
        <v>75</v>
      </c>
      <c r="I12" s="4"/>
      <c r="J12" s="2" t="s">
        <v>76</v>
      </c>
      <c r="K12" s="4"/>
      <c r="L12" s="2" t="s">
        <v>77</v>
      </c>
      <c r="M12" s="4"/>
      <c r="N12" s="2" t="s">
        <v>78</v>
      </c>
      <c r="O12" s="4"/>
      <c r="P12" s="2" t="s">
        <v>79</v>
      </c>
      <c r="Q12" s="4"/>
      <c r="R12" s="2" t="s">
        <v>80</v>
      </c>
      <c r="S12" s="4"/>
      <c r="T12" s="2" t="s">
        <v>81</v>
      </c>
      <c r="U12" s="4"/>
      <c r="V12" s="2" t="s">
        <v>34</v>
      </c>
      <c r="W12" s="4"/>
      <c r="X12" s="2" t="s">
        <v>42</v>
      </c>
      <c r="Y12" s="4"/>
      <c r="Z12" s="2"/>
      <c r="AA12" s="4"/>
    </row>
    <row r="13" spans="1:27" ht="23.1" customHeight="1" thickBot="1" x14ac:dyDescent="0.3">
      <c r="A13" s="114"/>
      <c r="B13" s="6" t="s">
        <v>70</v>
      </c>
      <c r="C13" s="7"/>
      <c r="D13" s="6" t="s">
        <v>71</v>
      </c>
      <c r="E13" s="8"/>
      <c r="F13" s="6" t="s">
        <v>7</v>
      </c>
      <c r="G13" s="8"/>
      <c r="H13" s="6" t="s">
        <v>8</v>
      </c>
      <c r="I13" s="8"/>
      <c r="J13" s="6" t="s">
        <v>9</v>
      </c>
      <c r="K13" s="8"/>
      <c r="L13" s="6" t="s">
        <v>10</v>
      </c>
      <c r="M13" s="8"/>
      <c r="N13" s="6" t="s">
        <v>11</v>
      </c>
      <c r="O13" s="8"/>
      <c r="P13" s="6" t="s">
        <v>12</v>
      </c>
      <c r="Q13" s="8"/>
      <c r="R13" s="6" t="s">
        <v>13</v>
      </c>
      <c r="S13" s="8"/>
      <c r="T13" s="6" t="s">
        <v>14</v>
      </c>
      <c r="U13" s="8"/>
      <c r="V13" s="6" t="s">
        <v>35</v>
      </c>
      <c r="W13" s="8"/>
      <c r="X13" s="6" t="s">
        <v>40</v>
      </c>
      <c r="Y13" s="8"/>
      <c r="Z13" s="6"/>
      <c r="AA13" s="8"/>
    </row>
    <row r="14" spans="1:27" ht="23.1" customHeight="1" x14ac:dyDescent="0.25">
      <c r="A14" s="113" t="s">
        <v>2</v>
      </c>
      <c r="B14" s="2" t="s">
        <v>84</v>
      </c>
      <c r="C14" s="3" t="s">
        <v>104</v>
      </c>
      <c r="D14" s="2" t="s">
        <v>85</v>
      </c>
      <c r="E14" s="4" t="s">
        <v>105</v>
      </c>
      <c r="F14" s="2" t="s">
        <v>81</v>
      </c>
      <c r="G14" s="4" t="s">
        <v>106</v>
      </c>
      <c r="H14" s="2" t="s">
        <v>80</v>
      </c>
      <c r="I14" s="4" t="s">
        <v>107</v>
      </c>
      <c r="J14" s="2" t="s">
        <v>86</v>
      </c>
      <c r="K14" s="4" t="s">
        <v>30</v>
      </c>
      <c r="L14" s="2" t="s">
        <v>69</v>
      </c>
      <c r="M14" s="4"/>
      <c r="N14" s="2" t="s">
        <v>87</v>
      </c>
      <c r="O14" s="4"/>
      <c r="P14" s="2" t="s">
        <v>88</v>
      </c>
      <c r="Q14" s="4" t="s">
        <v>108</v>
      </c>
      <c r="R14" s="2" t="s">
        <v>89</v>
      </c>
      <c r="S14" s="4"/>
      <c r="T14" s="2" t="s">
        <v>90</v>
      </c>
      <c r="U14" s="4" t="s">
        <v>109</v>
      </c>
      <c r="V14" s="2" t="s">
        <v>4</v>
      </c>
      <c r="W14" s="4" t="s">
        <v>110</v>
      </c>
      <c r="X14" s="2" t="s">
        <v>73</v>
      </c>
      <c r="Y14" s="4"/>
      <c r="Z14" s="2"/>
      <c r="AA14" s="4"/>
    </row>
    <row r="15" spans="1:27" ht="23.1" customHeight="1" thickBot="1" x14ac:dyDescent="0.3">
      <c r="A15" s="114"/>
      <c r="B15" s="38" t="s">
        <v>91</v>
      </c>
      <c r="C15" s="7" t="s">
        <v>36</v>
      </c>
      <c r="D15" s="38" t="s">
        <v>19</v>
      </c>
      <c r="E15" s="8" t="s">
        <v>96</v>
      </c>
      <c r="F15" s="38" t="s">
        <v>14</v>
      </c>
      <c r="G15" s="8" t="s">
        <v>18</v>
      </c>
      <c r="H15" s="38" t="s">
        <v>13</v>
      </c>
      <c r="I15" s="8" t="s">
        <v>97</v>
      </c>
      <c r="J15" s="38" t="s">
        <v>24</v>
      </c>
      <c r="K15" s="8" t="s">
        <v>30</v>
      </c>
      <c r="L15" s="38" t="s">
        <v>15</v>
      </c>
      <c r="M15" s="8" t="s">
        <v>98</v>
      </c>
      <c r="N15" s="38" t="s">
        <v>92</v>
      </c>
      <c r="O15" s="8" t="s">
        <v>99</v>
      </c>
      <c r="P15" s="38" t="s">
        <v>93</v>
      </c>
      <c r="Q15" s="8" t="s">
        <v>100</v>
      </c>
      <c r="R15" s="38" t="s">
        <v>94</v>
      </c>
      <c r="S15" s="8"/>
      <c r="T15" s="38" t="s">
        <v>95</v>
      </c>
      <c r="U15" s="8" t="s">
        <v>101</v>
      </c>
      <c r="V15" s="38" t="s">
        <v>6</v>
      </c>
      <c r="W15" s="8" t="s">
        <v>102</v>
      </c>
      <c r="X15" s="38" t="s">
        <v>71</v>
      </c>
      <c r="Y15" s="8" t="s">
        <v>103</v>
      </c>
      <c r="Z15" s="6"/>
      <c r="AA15" s="8"/>
    </row>
    <row r="16" spans="1:27" ht="23.1" customHeight="1" x14ac:dyDescent="0.25">
      <c r="A16" s="113" t="s">
        <v>194</v>
      </c>
      <c r="B16" s="115" t="s">
        <v>182</v>
      </c>
      <c r="C16" s="116"/>
      <c r="D16" s="115" t="s">
        <v>183</v>
      </c>
      <c r="E16" s="116"/>
      <c r="F16" s="115" t="s">
        <v>184</v>
      </c>
      <c r="G16" s="116"/>
      <c r="H16" s="115" t="s">
        <v>185</v>
      </c>
      <c r="I16" s="116"/>
      <c r="J16" s="115" t="s">
        <v>186</v>
      </c>
      <c r="K16" s="116"/>
      <c r="L16" s="115" t="s">
        <v>187</v>
      </c>
      <c r="M16" s="116"/>
      <c r="N16" s="115" t="s">
        <v>188</v>
      </c>
      <c r="O16" s="116"/>
      <c r="P16" s="115" t="s">
        <v>189</v>
      </c>
      <c r="Q16" s="116"/>
      <c r="R16" s="115" t="s">
        <v>190</v>
      </c>
      <c r="S16" s="116"/>
      <c r="T16" s="115" t="s">
        <v>191</v>
      </c>
      <c r="U16" s="116"/>
      <c r="V16" s="115" t="s">
        <v>192</v>
      </c>
      <c r="W16" s="116"/>
      <c r="X16" s="115" t="s">
        <v>193</v>
      </c>
      <c r="Y16" s="116"/>
      <c r="Z16" s="87"/>
      <c r="AA16" s="88"/>
    </row>
    <row r="17" spans="1:27" ht="23.1" customHeight="1" thickBot="1" x14ac:dyDescent="0.3">
      <c r="A17" s="114"/>
      <c r="B17" s="117"/>
      <c r="C17" s="118"/>
      <c r="D17" s="117"/>
      <c r="E17" s="118"/>
      <c r="F17" s="117"/>
      <c r="G17" s="118"/>
      <c r="H17" s="117"/>
      <c r="I17" s="118"/>
      <c r="J17" s="117"/>
      <c r="K17" s="118"/>
      <c r="L17" s="117"/>
      <c r="M17" s="118"/>
      <c r="N17" s="117"/>
      <c r="O17" s="118"/>
      <c r="P17" s="117"/>
      <c r="Q17" s="118"/>
      <c r="R17" s="117"/>
      <c r="S17" s="118"/>
      <c r="T17" s="117"/>
      <c r="U17" s="118"/>
      <c r="V17" s="117"/>
      <c r="W17" s="118"/>
      <c r="X17" s="117"/>
      <c r="Y17" s="118"/>
      <c r="Z17" s="91"/>
      <c r="AA17" s="92"/>
    </row>
    <row r="18" spans="1:27" ht="23.1" customHeight="1" thickBot="1" x14ac:dyDescent="0.3">
      <c r="A18" s="1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23.1" customHeight="1" x14ac:dyDescent="0.25">
      <c r="A19" s="113" t="s">
        <v>0</v>
      </c>
      <c r="B19" s="2" t="s">
        <v>72</v>
      </c>
      <c r="C19" s="3"/>
      <c r="D19" s="2" t="s">
        <v>119</v>
      </c>
      <c r="E19" s="4"/>
      <c r="F19" s="2" t="s">
        <v>88</v>
      </c>
      <c r="G19" s="4"/>
      <c r="H19" s="2" t="s">
        <v>120</v>
      </c>
      <c r="I19" s="4"/>
      <c r="J19" s="2" t="s">
        <v>121</v>
      </c>
      <c r="K19" s="4"/>
      <c r="L19" s="2" t="s">
        <v>122</v>
      </c>
      <c r="M19" s="4"/>
      <c r="N19" s="2" t="s">
        <v>90</v>
      </c>
      <c r="O19" s="4"/>
      <c r="P19" s="2" t="s">
        <v>123</v>
      </c>
      <c r="Q19" s="4"/>
      <c r="R19" s="2" t="s">
        <v>89</v>
      </c>
      <c r="S19" s="4"/>
      <c r="T19" s="2" t="s">
        <v>124</v>
      </c>
      <c r="U19" s="4"/>
      <c r="V19" s="2" t="s">
        <v>46</v>
      </c>
      <c r="W19" s="4"/>
      <c r="X19" s="2" t="s">
        <v>125</v>
      </c>
      <c r="Y19" s="4"/>
      <c r="Z19" s="2"/>
      <c r="AA19" s="4"/>
    </row>
    <row r="20" spans="1:27" ht="23.1" customHeight="1" thickBot="1" x14ac:dyDescent="0.3">
      <c r="A20" s="114"/>
      <c r="B20" s="6" t="s">
        <v>70</v>
      </c>
      <c r="C20" s="7"/>
      <c r="D20" s="6" t="s">
        <v>112</v>
      </c>
      <c r="E20" s="8"/>
      <c r="F20" s="13" t="s">
        <v>93</v>
      </c>
      <c r="G20" s="8"/>
      <c r="H20" s="6" t="s">
        <v>113</v>
      </c>
      <c r="I20" s="8"/>
      <c r="J20" s="6" t="s">
        <v>114</v>
      </c>
      <c r="K20" s="8"/>
      <c r="L20" s="6" t="s">
        <v>115</v>
      </c>
      <c r="M20" s="8"/>
      <c r="N20" s="6" t="s">
        <v>95</v>
      </c>
      <c r="O20" s="8"/>
      <c r="P20" s="6" t="s">
        <v>116</v>
      </c>
      <c r="Q20" s="8"/>
      <c r="R20" s="6" t="s">
        <v>94</v>
      </c>
      <c r="S20" s="8"/>
      <c r="T20" s="6" t="s">
        <v>117</v>
      </c>
      <c r="U20" s="8"/>
      <c r="V20" s="6" t="s">
        <v>118</v>
      </c>
      <c r="W20" s="8"/>
      <c r="X20" s="6" t="s">
        <v>45</v>
      </c>
      <c r="Y20" s="8"/>
      <c r="Z20" s="6"/>
      <c r="AA20" s="8"/>
    </row>
    <row r="21" spans="1:27" ht="23.1" customHeight="1" x14ac:dyDescent="0.25">
      <c r="A21" s="113" t="s">
        <v>1</v>
      </c>
      <c r="B21" s="2" t="s">
        <v>3</v>
      </c>
      <c r="C21" s="3"/>
      <c r="D21" s="2" t="s">
        <v>119</v>
      </c>
      <c r="E21" s="4"/>
      <c r="F21" s="2" t="s">
        <v>88</v>
      </c>
      <c r="G21" s="4"/>
      <c r="H21" s="2" t="s">
        <v>120</v>
      </c>
      <c r="I21" s="4"/>
      <c r="J21" s="2" t="s">
        <v>121</v>
      </c>
      <c r="K21" s="4"/>
      <c r="L21" s="2" t="s">
        <v>122</v>
      </c>
      <c r="M21" s="4"/>
      <c r="N21" s="2" t="s">
        <v>90</v>
      </c>
      <c r="O21" s="4"/>
      <c r="P21" s="2" t="s">
        <v>123</v>
      </c>
      <c r="Q21" s="4"/>
      <c r="R21" s="2" t="s">
        <v>89</v>
      </c>
      <c r="S21" s="4"/>
      <c r="T21" s="2" t="s">
        <v>150</v>
      </c>
      <c r="U21" s="4"/>
      <c r="V21" s="14" t="s">
        <v>38</v>
      </c>
      <c r="W21" s="4"/>
      <c r="X21" s="2" t="s">
        <v>33</v>
      </c>
      <c r="Y21" s="4"/>
      <c r="Z21" s="2"/>
      <c r="AA21" s="4"/>
    </row>
    <row r="22" spans="1:27" ht="23.1" customHeight="1" thickBot="1" x14ac:dyDescent="0.3">
      <c r="A22" s="114"/>
      <c r="B22" s="6" t="s">
        <v>5</v>
      </c>
      <c r="C22" s="7"/>
      <c r="D22" s="6" t="s">
        <v>112</v>
      </c>
      <c r="E22" s="8"/>
      <c r="F22" s="6" t="s">
        <v>93</v>
      </c>
      <c r="G22" s="8"/>
      <c r="H22" s="6" t="s">
        <v>113</v>
      </c>
      <c r="I22" s="8"/>
      <c r="J22" s="6" t="s">
        <v>114</v>
      </c>
      <c r="K22" s="8"/>
      <c r="L22" s="6" t="s">
        <v>115</v>
      </c>
      <c r="M22" s="8"/>
      <c r="N22" s="6" t="s">
        <v>95</v>
      </c>
      <c r="O22" s="8"/>
      <c r="P22" s="6" t="s">
        <v>116</v>
      </c>
      <c r="Q22" s="8"/>
      <c r="R22" s="6" t="s">
        <v>94</v>
      </c>
      <c r="S22" s="8"/>
      <c r="T22" s="6" t="s">
        <v>126</v>
      </c>
      <c r="U22" s="8"/>
      <c r="V22" s="9" t="s">
        <v>21</v>
      </c>
      <c r="W22" s="8"/>
      <c r="X22" s="6" t="s">
        <v>31</v>
      </c>
      <c r="Y22" s="8"/>
      <c r="Z22" s="6"/>
      <c r="AA22" s="8"/>
    </row>
    <row r="23" spans="1:27" ht="23.1" customHeight="1" x14ac:dyDescent="0.25">
      <c r="A23" s="113" t="s">
        <v>2</v>
      </c>
      <c r="B23" s="2" t="s">
        <v>3</v>
      </c>
      <c r="C23" s="3" t="s">
        <v>142</v>
      </c>
      <c r="D23" s="2" t="s">
        <v>78</v>
      </c>
      <c r="E23" s="4" t="s">
        <v>143</v>
      </c>
      <c r="F23" s="2" t="s">
        <v>79</v>
      </c>
      <c r="G23" s="4" t="s">
        <v>144</v>
      </c>
      <c r="H23" s="2" t="s">
        <v>74</v>
      </c>
      <c r="I23" s="4" t="s">
        <v>111</v>
      </c>
      <c r="J23" s="2" t="s">
        <v>126</v>
      </c>
      <c r="K23" s="4"/>
      <c r="L23" s="2" t="s">
        <v>127</v>
      </c>
      <c r="M23" s="4" t="s">
        <v>145</v>
      </c>
      <c r="N23" s="2" t="s">
        <v>76</v>
      </c>
      <c r="O23" s="4" t="s">
        <v>146</v>
      </c>
      <c r="P23" s="2" t="s">
        <v>119</v>
      </c>
      <c r="Q23" s="4" t="s">
        <v>147</v>
      </c>
      <c r="R23" s="2" t="s">
        <v>75</v>
      </c>
      <c r="S23" s="4" t="s">
        <v>148</v>
      </c>
      <c r="T23" s="2" t="s">
        <v>128</v>
      </c>
      <c r="U23" s="4"/>
      <c r="V23" s="2" t="s">
        <v>124</v>
      </c>
      <c r="W23" s="4" t="s">
        <v>149</v>
      </c>
      <c r="X23" s="2" t="s">
        <v>129</v>
      </c>
      <c r="Y23" s="4" t="s">
        <v>130</v>
      </c>
      <c r="Z23" s="2"/>
      <c r="AA23" s="4"/>
    </row>
    <row r="24" spans="1:27" ht="23.1" customHeight="1" thickBot="1" x14ac:dyDescent="0.3">
      <c r="A24" s="114"/>
      <c r="B24" s="38" t="s">
        <v>5</v>
      </c>
      <c r="C24" s="7" t="s">
        <v>133</v>
      </c>
      <c r="D24" s="38" t="s">
        <v>11</v>
      </c>
      <c r="E24" s="8" t="s">
        <v>118</v>
      </c>
      <c r="F24" s="38" t="s">
        <v>12</v>
      </c>
      <c r="G24" s="8" t="s">
        <v>82</v>
      </c>
      <c r="H24" s="38" t="s">
        <v>7</v>
      </c>
      <c r="I24" s="8" t="s">
        <v>134</v>
      </c>
      <c r="J24" s="38" t="s">
        <v>130</v>
      </c>
      <c r="K24" s="8" t="s">
        <v>135</v>
      </c>
      <c r="L24" s="38" t="s">
        <v>131</v>
      </c>
      <c r="M24" s="8" t="s">
        <v>136</v>
      </c>
      <c r="N24" s="38" t="s">
        <v>9</v>
      </c>
      <c r="O24" s="8" t="s">
        <v>137</v>
      </c>
      <c r="P24" s="38" t="s">
        <v>112</v>
      </c>
      <c r="Q24" s="8" t="s">
        <v>139</v>
      </c>
      <c r="R24" s="38" t="s">
        <v>8</v>
      </c>
      <c r="S24" s="8" t="s">
        <v>138</v>
      </c>
      <c r="T24" s="38" t="s">
        <v>132</v>
      </c>
      <c r="U24" s="8" t="s">
        <v>33</v>
      </c>
      <c r="V24" s="38" t="s">
        <v>117</v>
      </c>
      <c r="W24" s="8" t="s">
        <v>140</v>
      </c>
      <c r="X24" s="38" t="s">
        <v>26</v>
      </c>
      <c r="Y24" s="8" t="s">
        <v>141</v>
      </c>
      <c r="Z24" s="6"/>
      <c r="AA24" s="8"/>
    </row>
    <row r="25" spans="1:27" ht="23.1" customHeight="1" x14ac:dyDescent="0.25">
      <c r="A25" s="113" t="s">
        <v>194</v>
      </c>
      <c r="B25" s="115" t="s">
        <v>195</v>
      </c>
      <c r="C25" s="116"/>
      <c r="D25" s="115" t="s">
        <v>196</v>
      </c>
      <c r="E25" s="116"/>
      <c r="F25" s="115" t="s">
        <v>197</v>
      </c>
      <c r="G25" s="116"/>
      <c r="H25" s="115" t="s">
        <v>198</v>
      </c>
      <c r="I25" s="116"/>
      <c r="J25" s="115" t="s">
        <v>199</v>
      </c>
      <c r="K25" s="116"/>
      <c r="L25" s="115" t="s">
        <v>200</v>
      </c>
      <c r="M25" s="116"/>
      <c r="N25" s="115" t="s">
        <v>201</v>
      </c>
      <c r="O25" s="116"/>
      <c r="P25" s="115" t="s">
        <v>202</v>
      </c>
      <c r="Q25" s="116"/>
      <c r="R25" s="115" t="s">
        <v>203</v>
      </c>
      <c r="S25" s="116"/>
      <c r="T25" s="115" t="s">
        <v>204</v>
      </c>
      <c r="U25" s="116"/>
      <c r="V25" s="115" t="s">
        <v>205</v>
      </c>
      <c r="W25" s="116"/>
      <c r="X25" s="115" t="s">
        <v>206</v>
      </c>
      <c r="Y25" s="116"/>
      <c r="Z25" s="87"/>
      <c r="AA25" s="88"/>
    </row>
    <row r="26" spans="1:27" ht="23.1" customHeight="1" thickBot="1" x14ac:dyDescent="0.3">
      <c r="A26" s="114"/>
      <c r="B26" s="117"/>
      <c r="C26" s="118"/>
      <c r="D26" s="117"/>
      <c r="E26" s="118"/>
      <c r="F26" s="117"/>
      <c r="G26" s="118"/>
      <c r="H26" s="117"/>
      <c r="I26" s="118"/>
      <c r="J26" s="117"/>
      <c r="K26" s="118"/>
      <c r="L26" s="117"/>
      <c r="M26" s="118"/>
      <c r="N26" s="117"/>
      <c r="O26" s="118"/>
      <c r="P26" s="117"/>
      <c r="Q26" s="118"/>
      <c r="R26" s="117"/>
      <c r="S26" s="118"/>
      <c r="T26" s="117"/>
      <c r="U26" s="118"/>
      <c r="V26" s="117"/>
      <c r="W26" s="118"/>
      <c r="X26" s="117"/>
      <c r="Y26" s="118"/>
      <c r="Z26" s="91"/>
      <c r="AA26" s="92"/>
    </row>
    <row r="27" spans="1:27" ht="23.1" customHeight="1" thickBot="1" x14ac:dyDescent="0.3">
      <c r="A27" s="1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3.1" customHeight="1" x14ac:dyDescent="0.25">
      <c r="A28" s="113" t="s">
        <v>0</v>
      </c>
      <c r="B28" s="2" t="s">
        <v>50</v>
      </c>
      <c r="C28" s="3"/>
      <c r="D28" s="2" t="s">
        <v>73</v>
      </c>
      <c r="E28" s="4"/>
      <c r="F28" s="2" t="s">
        <v>153</v>
      </c>
      <c r="G28" s="4"/>
      <c r="H28" s="2" t="s">
        <v>127</v>
      </c>
      <c r="I28" s="4"/>
      <c r="J28" s="2" t="s">
        <v>87</v>
      </c>
      <c r="K28" s="4"/>
      <c r="L28" s="2" t="s">
        <v>84</v>
      </c>
      <c r="M28" s="4"/>
      <c r="N28" s="2" t="s">
        <v>128</v>
      </c>
      <c r="O28" s="4"/>
      <c r="P28" s="2" t="s">
        <v>154</v>
      </c>
      <c r="Q28" s="4"/>
      <c r="R28" s="2" t="s">
        <v>152</v>
      </c>
      <c r="S28" s="4"/>
      <c r="T28" s="2" t="s">
        <v>47</v>
      </c>
      <c r="U28" s="4"/>
      <c r="V28" s="2" t="s">
        <v>106</v>
      </c>
      <c r="W28" s="4"/>
      <c r="X28" s="2"/>
      <c r="Y28" s="4"/>
      <c r="Z28" s="2"/>
      <c r="AA28" s="4"/>
    </row>
    <row r="29" spans="1:27" ht="23.1" customHeight="1" thickBot="1" x14ac:dyDescent="0.3">
      <c r="A29" s="114"/>
      <c r="B29" s="6" t="s">
        <v>32</v>
      </c>
      <c r="C29" s="7"/>
      <c r="D29" s="6" t="s">
        <v>71</v>
      </c>
      <c r="E29" s="8"/>
      <c r="F29" s="13" t="s">
        <v>151</v>
      </c>
      <c r="G29" s="8"/>
      <c r="H29" s="6" t="s">
        <v>131</v>
      </c>
      <c r="I29" s="8"/>
      <c r="J29" s="6" t="s">
        <v>92</v>
      </c>
      <c r="K29" s="8"/>
      <c r="L29" s="6" t="s">
        <v>91</v>
      </c>
      <c r="M29" s="8"/>
      <c r="N29" s="6" t="s">
        <v>132</v>
      </c>
      <c r="O29" s="8"/>
      <c r="P29" s="6" t="s">
        <v>130</v>
      </c>
      <c r="Q29" s="8"/>
      <c r="R29" s="6" t="s">
        <v>126</v>
      </c>
      <c r="S29" s="8"/>
      <c r="T29" s="6" t="s">
        <v>150</v>
      </c>
      <c r="U29" s="8"/>
      <c r="V29" s="6" t="s">
        <v>69</v>
      </c>
      <c r="W29" s="8"/>
      <c r="X29" s="6"/>
      <c r="Y29" s="8"/>
      <c r="Z29" s="6"/>
      <c r="AA29" s="8"/>
    </row>
    <row r="30" spans="1:27" ht="23.1" customHeight="1" x14ac:dyDescent="0.25">
      <c r="A30" s="113" t="s">
        <v>1</v>
      </c>
      <c r="B30" s="2" t="s">
        <v>36</v>
      </c>
      <c r="C30" s="3"/>
      <c r="D30" s="2" t="s">
        <v>4</v>
      </c>
      <c r="E30" s="4"/>
      <c r="F30" s="2" t="s">
        <v>153</v>
      </c>
      <c r="G30" s="4"/>
      <c r="H30" s="2" t="s">
        <v>127</v>
      </c>
      <c r="I30" s="4"/>
      <c r="J30" s="2" t="s">
        <v>87</v>
      </c>
      <c r="K30" s="4"/>
      <c r="L30" s="2" t="s">
        <v>84</v>
      </c>
      <c r="M30" s="4"/>
      <c r="N30" s="2" t="s">
        <v>128</v>
      </c>
      <c r="O30" s="4"/>
      <c r="P30" s="2" t="s">
        <v>124</v>
      </c>
      <c r="Q30" s="4"/>
      <c r="R30" s="2" t="s">
        <v>32</v>
      </c>
      <c r="S30" s="4"/>
      <c r="T30" s="2" t="s">
        <v>50</v>
      </c>
      <c r="U30" s="4"/>
      <c r="V30" s="14" t="s">
        <v>154</v>
      </c>
      <c r="W30" s="4"/>
      <c r="X30" s="2"/>
      <c r="Y30" s="4"/>
      <c r="Z30" s="2"/>
      <c r="AA30" s="4"/>
    </row>
    <row r="31" spans="1:27" ht="23.1" customHeight="1" thickBot="1" x14ac:dyDescent="0.3">
      <c r="A31" s="114"/>
      <c r="B31" s="8" t="s">
        <v>221</v>
      </c>
      <c r="C31" s="7"/>
      <c r="D31" s="6" t="s">
        <v>6</v>
      </c>
      <c r="E31" s="8"/>
      <c r="F31" s="6" t="s">
        <v>151</v>
      </c>
      <c r="G31" s="8"/>
      <c r="H31" s="6" t="s">
        <v>131</v>
      </c>
      <c r="I31" s="8"/>
      <c r="J31" s="6" t="s">
        <v>92</v>
      </c>
      <c r="K31" s="8"/>
      <c r="L31" s="6" t="s">
        <v>91</v>
      </c>
      <c r="M31" s="8"/>
      <c r="N31" s="6" t="s">
        <v>132</v>
      </c>
      <c r="O31" s="8"/>
      <c r="P31" s="6" t="s">
        <v>117</v>
      </c>
      <c r="Q31" s="8"/>
      <c r="R31" s="6" t="s">
        <v>130</v>
      </c>
      <c r="S31" s="8"/>
      <c r="T31" s="6" t="s">
        <v>152</v>
      </c>
      <c r="U31" s="8"/>
      <c r="V31" s="9" t="s">
        <v>47</v>
      </c>
      <c r="W31" s="8"/>
      <c r="X31" s="6"/>
      <c r="Y31" s="8"/>
      <c r="Z31" s="6"/>
      <c r="AA31" s="8"/>
    </row>
    <row r="32" spans="1:27" ht="23.1" customHeight="1" x14ac:dyDescent="0.25">
      <c r="A32" s="113" t="s">
        <v>2</v>
      </c>
      <c r="B32" s="2" t="s">
        <v>155</v>
      </c>
      <c r="C32" s="3"/>
      <c r="D32" s="2" t="s">
        <v>156</v>
      </c>
      <c r="E32" s="4"/>
      <c r="F32" s="2" t="s">
        <v>77</v>
      </c>
      <c r="G32" s="4" t="s">
        <v>162</v>
      </c>
      <c r="H32" s="2" t="s">
        <v>153</v>
      </c>
      <c r="I32" s="4" t="s">
        <v>135</v>
      </c>
      <c r="J32" s="2" t="s">
        <v>150</v>
      </c>
      <c r="K32" s="4" t="s">
        <v>163</v>
      </c>
      <c r="L32" s="2" t="s">
        <v>123</v>
      </c>
      <c r="M32" s="4" t="s">
        <v>164</v>
      </c>
      <c r="N32" s="14" t="s">
        <v>154</v>
      </c>
      <c r="O32" s="4" t="s">
        <v>165</v>
      </c>
      <c r="P32" s="2" t="s">
        <v>72</v>
      </c>
      <c r="Q32" s="4" t="s">
        <v>166</v>
      </c>
      <c r="R32" s="2" t="s">
        <v>121</v>
      </c>
      <c r="S32" s="4"/>
      <c r="T32" s="2" t="s">
        <v>122</v>
      </c>
      <c r="U32" s="4" t="s">
        <v>167</v>
      </c>
      <c r="V32" s="2" t="s">
        <v>120</v>
      </c>
      <c r="W32" s="4" t="s">
        <v>168</v>
      </c>
      <c r="X32" s="2"/>
      <c r="Y32" s="4"/>
      <c r="Z32" s="2"/>
      <c r="AA32" s="4"/>
    </row>
    <row r="33" spans="1:27" ht="23.1" customHeight="1" thickBot="1" x14ac:dyDescent="0.3">
      <c r="A33" s="114"/>
      <c r="B33" s="38" t="s">
        <v>157</v>
      </c>
      <c r="C33" s="7" t="s">
        <v>47</v>
      </c>
      <c r="D33" s="38" t="s">
        <v>27</v>
      </c>
      <c r="E33" s="8" t="s">
        <v>221</v>
      </c>
      <c r="F33" s="38" t="s">
        <v>10</v>
      </c>
      <c r="G33" s="8" t="s">
        <v>34</v>
      </c>
      <c r="H33" s="38" t="s">
        <v>151</v>
      </c>
      <c r="I33" s="8" t="s">
        <v>42</v>
      </c>
      <c r="J33" s="38" t="s">
        <v>152</v>
      </c>
      <c r="K33" s="8" t="s">
        <v>158</v>
      </c>
      <c r="L33" s="38" t="s">
        <v>116</v>
      </c>
      <c r="M33" s="8" t="s">
        <v>33</v>
      </c>
      <c r="N33" s="40" t="s">
        <v>21</v>
      </c>
      <c r="O33" s="8" t="s">
        <v>159</v>
      </c>
      <c r="P33" s="38" t="s">
        <v>70</v>
      </c>
      <c r="Q33" s="8" t="s">
        <v>39</v>
      </c>
      <c r="R33" s="38" t="s">
        <v>114</v>
      </c>
      <c r="S33" s="8" t="s">
        <v>125</v>
      </c>
      <c r="T33" s="38" t="s">
        <v>115</v>
      </c>
      <c r="U33" s="8" t="s">
        <v>160</v>
      </c>
      <c r="V33" s="38" t="s">
        <v>113</v>
      </c>
      <c r="W33" s="15" t="s">
        <v>161</v>
      </c>
      <c r="X33" s="6"/>
      <c r="Y33" s="8"/>
      <c r="Z33" s="6"/>
      <c r="AA33" s="8"/>
    </row>
    <row r="34" spans="1:27" ht="26.1" customHeight="1" x14ac:dyDescent="0.25">
      <c r="A34" s="113" t="s">
        <v>194</v>
      </c>
      <c r="B34" s="115" t="s">
        <v>222</v>
      </c>
      <c r="C34" s="116"/>
      <c r="D34" s="115" t="s">
        <v>223</v>
      </c>
      <c r="E34" s="116"/>
      <c r="F34" s="115" t="s">
        <v>224</v>
      </c>
      <c r="G34" s="116"/>
      <c r="H34" s="115" t="s">
        <v>225</v>
      </c>
      <c r="I34" s="116"/>
      <c r="J34" s="115" t="s">
        <v>226</v>
      </c>
      <c r="K34" s="116"/>
      <c r="L34" s="115" t="s">
        <v>227</v>
      </c>
      <c r="M34" s="116"/>
      <c r="N34" s="115" t="s">
        <v>228</v>
      </c>
      <c r="O34" s="116"/>
      <c r="P34" s="115" t="s">
        <v>229</v>
      </c>
      <c r="Q34" s="116"/>
      <c r="R34" s="115" t="s">
        <v>230</v>
      </c>
      <c r="S34" s="116"/>
      <c r="T34" s="115" t="s">
        <v>231</v>
      </c>
      <c r="U34" s="116"/>
      <c r="V34" s="115" t="s">
        <v>232</v>
      </c>
      <c r="W34" s="116"/>
      <c r="X34" s="115"/>
      <c r="Y34" s="116"/>
      <c r="Z34" s="87"/>
      <c r="AA34" s="88"/>
    </row>
    <row r="35" spans="1:27" ht="26.1" customHeight="1" thickBot="1" x14ac:dyDescent="0.3">
      <c r="A35" s="114"/>
      <c r="B35" s="117"/>
      <c r="C35" s="118"/>
      <c r="D35" s="117"/>
      <c r="E35" s="118"/>
      <c r="F35" s="117"/>
      <c r="G35" s="118"/>
      <c r="H35" s="117"/>
      <c r="I35" s="118"/>
      <c r="J35" s="117"/>
      <c r="K35" s="118"/>
      <c r="L35" s="117"/>
      <c r="M35" s="118"/>
      <c r="N35" s="117"/>
      <c r="O35" s="118"/>
      <c r="P35" s="117"/>
      <c r="Q35" s="118"/>
      <c r="R35" s="117"/>
      <c r="S35" s="118"/>
      <c r="T35" s="117"/>
      <c r="U35" s="118"/>
      <c r="V35" s="117"/>
      <c r="W35" s="118"/>
      <c r="X35" s="117"/>
      <c r="Y35" s="118"/>
      <c r="Z35" s="91"/>
      <c r="AA35" s="92"/>
    </row>
    <row r="39" spans="1:27" ht="23.1" customHeight="1" x14ac:dyDescent="0.25">
      <c r="A39" s="42" t="s">
        <v>2</v>
      </c>
      <c r="B39" s="111" t="s">
        <v>31</v>
      </c>
      <c r="C39" s="112"/>
      <c r="D39" s="119">
        <v>1</v>
      </c>
      <c r="E39" s="120"/>
      <c r="F39" s="119">
        <v>2</v>
      </c>
      <c r="G39" s="120"/>
      <c r="H39" s="119">
        <v>3</v>
      </c>
      <c r="I39" s="120"/>
      <c r="J39" s="119">
        <v>4</v>
      </c>
      <c r="K39" s="120"/>
      <c r="L39" s="119">
        <v>5</v>
      </c>
      <c r="M39" s="120"/>
      <c r="N39" s="119">
        <v>6</v>
      </c>
      <c r="O39" s="120"/>
      <c r="P39" s="119">
        <v>7</v>
      </c>
      <c r="Q39" s="120"/>
      <c r="R39" s="119">
        <v>8</v>
      </c>
      <c r="S39" s="120"/>
      <c r="T39" s="119">
        <v>9</v>
      </c>
      <c r="U39" s="120"/>
      <c r="V39" s="119">
        <v>0</v>
      </c>
      <c r="W39" s="120"/>
      <c r="X39" s="111" t="s">
        <v>39</v>
      </c>
      <c r="Y39" s="112"/>
      <c r="Z39" s="111" t="s">
        <v>30</v>
      </c>
      <c r="AA39" s="112"/>
    </row>
    <row r="40" spans="1:27" ht="26.1" customHeight="1" x14ac:dyDescent="0.25">
      <c r="A40" s="42" t="s">
        <v>194</v>
      </c>
      <c r="B40" s="111" t="s">
        <v>233</v>
      </c>
      <c r="C40" s="112"/>
      <c r="D40" s="119" t="s">
        <v>234</v>
      </c>
      <c r="E40" s="120"/>
      <c r="F40" s="119" t="s">
        <v>235</v>
      </c>
      <c r="G40" s="120"/>
      <c r="H40" s="119" t="s">
        <v>236</v>
      </c>
      <c r="I40" s="120"/>
      <c r="J40" s="119" t="s">
        <v>237</v>
      </c>
      <c r="K40" s="120"/>
      <c r="L40" s="119" t="s">
        <v>238</v>
      </c>
      <c r="M40" s="120"/>
      <c r="N40" s="119" t="s">
        <v>239</v>
      </c>
      <c r="O40" s="120"/>
      <c r="P40" s="119" t="s">
        <v>240</v>
      </c>
      <c r="Q40" s="120"/>
      <c r="R40" s="119" t="s">
        <v>241</v>
      </c>
      <c r="S40" s="120"/>
      <c r="T40" s="119" t="s">
        <v>242</v>
      </c>
      <c r="U40" s="120"/>
      <c r="V40" s="119" t="s">
        <v>243</v>
      </c>
      <c r="W40" s="120"/>
      <c r="X40" s="111" t="s">
        <v>244</v>
      </c>
      <c r="Y40" s="112"/>
      <c r="Z40" s="111" t="s">
        <v>245</v>
      </c>
      <c r="AA40" s="112"/>
    </row>
    <row r="41" spans="1:27" ht="26.1" customHeight="1" x14ac:dyDescent="0.25">
      <c r="A41" s="41"/>
    </row>
    <row r="42" spans="1:27" ht="23.1" customHeight="1" x14ac:dyDescent="0.25">
      <c r="A42" s="42" t="s">
        <v>2</v>
      </c>
      <c r="B42" s="111" t="s">
        <v>69</v>
      </c>
      <c r="C42" s="112"/>
      <c r="D42" s="111" t="s">
        <v>126</v>
      </c>
      <c r="E42" s="112"/>
      <c r="F42" s="111" t="s">
        <v>150</v>
      </c>
      <c r="G42" s="112"/>
      <c r="H42" s="111" t="s">
        <v>154</v>
      </c>
      <c r="I42" s="112"/>
      <c r="J42" s="111" t="s">
        <v>214</v>
      </c>
      <c r="K42" s="112"/>
      <c r="L42" s="111" t="s">
        <v>48</v>
      </c>
      <c r="M42" s="112"/>
      <c r="N42" s="111" t="s">
        <v>49</v>
      </c>
      <c r="O42" s="112"/>
      <c r="P42" s="111" t="s">
        <v>32</v>
      </c>
      <c r="Q42" s="112"/>
      <c r="R42" s="111" t="s">
        <v>50</v>
      </c>
      <c r="S42" s="112"/>
      <c r="T42" s="111" t="s">
        <v>35</v>
      </c>
      <c r="U42" s="112"/>
      <c r="V42" s="111" t="s">
        <v>40</v>
      </c>
      <c r="W42" s="112"/>
      <c r="X42" s="111" t="s">
        <v>15</v>
      </c>
      <c r="Y42" s="112"/>
      <c r="Z42" s="111" t="s">
        <v>51</v>
      </c>
      <c r="AA42" s="112"/>
    </row>
    <row r="43" spans="1:27" ht="26.1" customHeight="1" x14ac:dyDescent="0.25">
      <c r="A43" s="42" t="s">
        <v>194</v>
      </c>
      <c r="B43" s="111" t="s">
        <v>246</v>
      </c>
      <c r="C43" s="112"/>
      <c r="D43" s="111" t="s">
        <v>247</v>
      </c>
      <c r="E43" s="112"/>
      <c r="F43" s="111" t="s">
        <v>248</v>
      </c>
      <c r="G43" s="112"/>
      <c r="H43" s="111" t="s">
        <v>249</v>
      </c>
      <c r="I43" s="112"/>
      <c r="J43" s="111" t="s">
        <v>724</v>
      </c>
      <c r="K43" s="112"/>
      <c r="L43" s="111" t="s">
        <v>250</v>
      </c>
      <c r="M43" s="112"/>
      <c r="N43" s="111" t="s">
        <v>259</v>
      </c>
      <c r="O43" s="112"/>
      <c r="P43" s="111" t="s">
        <v>258</v>
      </c>
      <c r="Q43" s="112"/>
      <c r="R43" s="111" t="s">
        <v>257</v>
      </c>
      <c r="S43" s="112"/>
      <c r="T43" s="111" t="s">
        <v>256</v>
      </c>
      <c r="U43" s="112"/>
      <c r="V43" s="111" t="s">
        <v>255</v>
      </c>
      <c r="W43" s="112"/>
      <c r="X43" s="111" t="s">
        <v>254</v>
      </c>
      <c r="Y43" s="112"/>
      <c r="Z43" s="111" t="s">
        <v>253</v>
      </c>
      <c r="AA43" s="112"/>
    </row>
    <row r="45" spans="1:27" ht="23.1" customHeight="1" x14ac:dyDescent="0.25">
      <c r="A45" s="42" t="s">
        <v>2</v>
      </c>
      <c r="B45" s="111" t="s">
        <v>52</v>
      </c>
      <c r="C45" s="112"/>
      <c r="D45" s="111" t="s">
        <v>53</v>
      </c>
      <c r="E45" s="112"/>
      <c r="F45" s="111" t="s">
        <v>53</v>
      </c>
      <c r="G45" s="112"/>
      <c r="H45" s="111" t="s">
        <v>54</v>
      </c>
      <c r="I45" s="112"/>
      <c r="J45" s="111" t="s">
        <v>55</v>
      </c>
      <c r="K45" s="112"/>
      <c r="L45" s="111" t="s">
        <v>56</v>
      </c>
      <c r="M45" s="112"/>
      <c r="N45" s="111" t="s">
        <v>36</v>
      </c>
      <c r="O45" s="112"/>
      <c r="P45" s="111" t="s">
        <v>265</v>
      </c>
      <c r="Q45" s="112"/>
      <c r="R45" s="111" t="s">
        <v>18</v>
      </c>
      <c r="S45" s="112"/>
      <c r="T45" s="111" t="s">
        <v>97</v>
      </c>
      <c r="U45" s="112"/>
      <c r="V45" s="111" t="s">
        <v>30</v>
      </c>
      <c r="W45" s="112"/>
      <c r="X45" s="111" t="s">
        <v>98</v>
      </c>
      <c r="Y45" s="112"/>
      <c r="Z45" s="111" t="s">
        <v>271</v>
      </c>
      <c r="AA45" s="112"/>
    </row>
    <row r="46" spans="1:27" ht="26.1" customHeight="1" x14ac:dyDescent="0.25">
      <c r="A46" s="42" t="s">
        <v>194</v>
      </c>
      <c r="B46" s="111" t="s">
        <v>252</v>
      </c>
      <c r="C46" s="112"/>
      <c r="D46" s="111" t="s">
        <v>251</v>
      </c>
      <c r="E46" s="112"/>
      <c r="F46" s="111" t="s">
        <v>260</v>
      </c>
      <c r="G46" s="112"/>
      <c r="H46" s="111" t="s">
        <v>261</v>
      </c>
      <c r="I46" s="112"/>
      <c r="J46" s="111" t="s">
        <v>263</v>
      </c>
      <c r="K46" s="112"/>
      <c r="L46" s="111" t="s">
        <v>262</v>
      </c>
      <c r="M46" s="112"/>
      <c r="N46" s="111" t="s">
        <v>264</v>
      </c>
      <c r="O46" s="112"/>
      <c r="P46" s="111" t="s">
        <v>266</v>
      </c>
      <c r="Q46" s="112"/>
      <c r="R46" s="111" t="s">
        <v>267</v>
      </c>
      <c r="S46" s="112"/>
      <c r="T46" s="111" t="s">
        <v>268</v>
      </c>
      <c r="U46" s="112"/>
      <c r="V46" s="111" t="s">
        <v>269</v>
      </c>
      <c r="W46" s="112"/>
      <c r="X46" s="111" t="s">
        <v>270</v>
      </c>
      <c r="Y46" s="112"/>
      <c r="Z46" s="111" t="s">
        <v>272</v>
      </c>
      <c r="AA46" s="112"/>
    </row>
    <row r="48" spans="1:27" ht="23.1" customHeight="1" x14ac:dyDescent="0.25">
      <c r="A48" s="42" t="s">
        <v>2</v>
      </c>
      <c r="B48" s="111" t="s">
        <v>100</v>
      </c>
      <c r="C48" s="112"/>
      <c r="D48" s="111" t="s">
        <v>274</v>
      </c>
      <c r="E48" s="112"/>
      <c r="F48" s="111" t="s">
        <v>101</v>
      </c>
      <c r="G48" s="112"/>
      <c r="H48" s="111" t="s">
        <v>102</v>
      </c>
      <c r="I48" s="112"/>
      <c r="J48" s="111" t="s">
        <v>278</v>
      </c>
      <c r="K48" s="112"/>
      <c r="L48" s="111" t="s">
        <v>133</v>
      </c>
      <c r="M48" s="112"/>
      <c r="N48" s="111" t="s">
        <v>118</v>
      </c>
      <c r="O48" s="112"/>
      <c r="P48" s="111" t="s">
        <v>280</v>
      </c>
      <c r="Q48" s="112"/>
      <c r="R48" s="111" t="s">
        <v>134</v>
      </c>
      <c r="S48" s="112"/>
      <c r="T48" s="111" t="s">
        <v>135</v>
      </c>
      <c r="U48" s="112"/>
      <c r="V48" s="111" t="s">
        <v>136</v>
      </c>
      <c r="W48" s="112"/>
      <c r="X48" s="111" t="s">
        <v>137</v>
      </c>
      <c r="Y48" s="112"/>
      <c r="Z48" s="111" t="s">
        <v>139</v>
      </c>
      <c r="AA48" s="112"/>
    </row>
    <row r="49" spans="1:27" ht="26.1" customHeight="1" x14ac:dyDescent="0.25">
      <c r="A49" s="42" t="s">
        <v>194</v>
      </c>
      <c r="B49" s="111" t="s">
        <v>273</v>
      </c>
      <c r="C49" s="112"/>
      <c r="D49" s="111" t="s">
        <v>275</v>
      </c>
      <c r="E49" s="112"/>
      <c r="F49" s="111" t="s">
        <v>276</v>
      </c>
      <c r="G49" s="112"/>
      <c r="H49" s="111" t="s">
        <v>277</v>
      </c>
      <c r="I49" s="112"/>
      <c r="J49" s="111" t="s">
        <v>279</v>
      </c>
      <c r="K49" s="112"/>
      <c r="L49" s="111" t="s">
        <v>281</v>
      </c>
      <c r="M49" s="112"/>
      <c r="N49" s="111" t="s">
        <v>282</v>
      </c>
      <c r="O49" s="112"/>
      <c r="P49" s="111" t="s">
        <v>283</v>
      </c>
      <c r="Q49" s="112"/>
      <c r="R49" s="111" t="s">
        <v>284</v>
      </c>
      <c r="S49" s="112"/>
      <c r="T49" s="111" t="s">
        <v>285</v>
      </c>
      <c r="U49" s="112"/>
      <c r="V49" s="111" t="s">
        <v>286</v>
      </c>
      <c r="W49" s="112"/>
      <c r="X49" s="111" t="s">
        <v>287</v>
      </c>
      <c r="Y49" s="112"/>
      <c r="Z49" s="111" t="s">
        <v>288</v>
      </c>
      <c r="AA49" s="112"/>
    </row>
    <row r="51" spans="1:27" ht="23.1" customHeight="1" x14ac:dyDescent="0.25">
      <c r="A51" s="42" t="s">
        <v>2</v>
      </c>
      <c r="B51" s="111" t="s">
        <v>138</v>
      </c>
      <c r="C51" s="112"/>
      <c r="D51" s="111" t="s">
        <v>289</v>
      </c>
      <c r="E51" s="112"/>
      <c r="F51" s="111" t="s">
        <v>290</v>
      </c>
      <c r="G51" s="112"/>
      <c r="H51" s="111" t="s">
        <v>291</v>
      </c>
      <c r="I51" s="112"/>
      <c r="J51" s="111" t="s">
        <v>221</v>
      </c>
      <c r="K51" s="112"/>
      <c r="L51" s="111" t="s">
        <v>34</v>
      </c>
      <c r="M51" s="112"/>
      <c r="N51" s="111" t="s">
        <v>42</v>
      </c>
      <c r="O51" s="112"/>
      <c r="P51" s="111" t="s">
        <v>158</v>
      </c>
      <c r="Q51" s="112"/>
      <c r="R51" s="111" t="s">
        <v>33</v>
      </c>
      <c r="S51" s="112"/>
      <c r="T51" s="111" t="s">
        <v>159</v>
      </c>
      <c r="U51" s="112"/>
      <c r="V51" s="111" t="s">
        <v>297</v>
      </c>
      <c r="W51" s="112"/>
      <c r="X51" s="111" t="s">
        <v>303</v>
      </c>
      <c r="Y51" s="112"/>
      <c r="Z51" s="111" t="s">
        <v>160</v>
      </c>
      <c r="AA51" s="112"/>
    </row>
    <row r="52" spans="1:27" ht="26.1" customHeight="1" x14ac:dyDescent="0.25">
      <c r="A52" s="42" t="s">
        <v>194</v>
      </c>
      <c r="B52" s="111" t="s">
        <v>292</v>
      </c>
      <c r="C52" s="112"/>
      <c r="D52" s="111" t="s">
        <v>293</v>
      </c>
      <c r="E52" s="112"/>
      <c r="F52" s="111" t="s">
        <v>294</v>
      </c>
      <c r="G52" s="112"/>
      <c r="H52" s="111" t="s">
        <v>295</v>
      </c>
      <c r="I52" s="112"/>
      <c r="J52" s="111" t="s">
        <v>296</v>
      </c>
      <c r="K52" s="112"/>
      <c r="L52" s="111" t="s">
        <v>298</v>
      </c>
      <c r="M52" s="112"/>
      <c r="N52" s="111" t="s">
        <v>299</v>
      </c>
      <c r="O52" s="112"/>
      <c r="P52" s="111" t="s">
        <v>300</v>
      </c>
      <c r="Q52" s="112"/>
      <c r="R52" s="111" t="s">
        <v>301</v>
      </c>
      <c r="S52" s="112"/>
      <c r="T52" s="111" t="s">
        <v>301</v>
      </c>
      <c r="U52" s="112"/>
      <c r="V52" s="111" t="s">
        <v>302</v>
      </c>
      <c r="W52" s="112"/>
      <c r="X52" s="111" t="s">
        <v>304</v>
      </c>
      <c r="Y52" s="112"/>
      <c r="Z52" s="111" t="s">
        <v>305</v>
      </c>
      <c r="AA52" s="112"/>
    </row>
    <row r="54" spans="1:27" ht="23.1" customHeight="1" x14ac:dyDescent="0.25">
      <c r="A54" s="42" t="s">
        <v>2</v>
      </c>
      <c r="B54" s="111" t="s">
        <v>306</v>
      </c>
      <c r="C54" s="112"/>
      <c r="D54" s="111" t="s">
        <v>25</v>
      </c>
      <c r="E54" s="112"/>
      <c r="F54" s="111" t="s">
        <v>57</v>
      </c>
      <c r="G54" s="112"/>
      <c r="H54" s="111" t="s">
        <v>58</v>
      </c>
      <c r="I54" s="112"/>
      <c r="J54" s="111" t="s">
        <v>59</v>
      </c>
      <c r="K54" s="112"/>
      <c r="L54" s="111" t="s">
        <v>60</v>
      </c>
      <c r="M54" s="112"/>
      <c r="N54" s="111" t="s">
        <v>61</v>
      </c>
      <c r="O54" s="112"/>
      <c r="P54" s="111" t="s">
        <v>62</v>
      </c>
      <c r="Q54" s="112"/>
      <c r="R54" s="111" t="s">
        <v>63</v>
      </c>
      <c r="S54" s="112"/>
      <c r="T54" s="111" t="s">
        <v>64</v>
      </c>
      <c r="U54" s="112"/>
      <c r="V54" s="111" t="s">
        <v>65</v>
      </c>
      <c r="W54" s="112"/>
      <c r="X54" s="111" t="s">
        <v>66</v>
      </c>
      <c r="Y54" s="112"/>
      <c r="Z54" s="111" t="s">
        <v>67</v>
      </c>
      <c r="AA54" s="112"/>
    </row>
    <row r="55" spans="1:27" ht="26.1" customHeight="1" x14ac:dyDescent="0.25">
      <c r="A55" s="42" t="s">
        <v>194</v>
      </c>
      <c r="B55" s="111" t="s">
        <v>307</v>
      </c>
      <c r="C55" s="112"/>
      <c r="D55" s="111" t="s">
        <v>308</v>
      </c>
      <c r="E55" s="112"/>
      <c r="F55" s="111" t="s">
        <v>309</v>
      </c>
      <c r="G55" s="112"/>
      <c r="H55" s="111" t="s">
        <v>310</v>
      </c>
      <c r="I55" s="112"/>
      <c r="J55" s="111" t="s">
        <v>311</v>
      </c>
      <c r="K55" s="112"/>
      <c r="L55" s="111" t="s">
        <v>312</v>
      </c>
      <c r="M55" s="112"/>
      <c r="N55" s="111" t="s">
        <v>313</v>
      </c>
      <c r="O55" s="112"/>
      <c r="P55" s="111" t="s">
        <v>314</v>
      </c>
      <c r="Q55" s="112"/>
      <c r="R55" s="111" t="s">
        <v>315</v>
      </c>
      <c r="S55" s="112"/>
      <c r="T55" s="111" t="s">
        <v>316</v>
      </c>
      <c r="U55" s="112"/>
      <c r="V55" s="111" t="s">
        <v>317</v>
      </c>
      <c r="W55" s="112"/>
      <c r="X55" s="111" t="s">
        <v>318</v>
      </c>
      <c r="Y55" s="112"/>
      <c r="Z55" s="111" t="s">
        <v>319</v>
      </c>
      <c r="AA55" s="112"/>
    </row>
    <row r="57" spans="1:27" ht="23.1" customHeight="1" x14ac:dyDescent="0.25">
      <c r="A57" s="42" t="s">
        <v>2</v>
      </c>
      <c r="B57" s="111" t="s">
        <v>68</v>
      </c>
      <c r="C57" s="112"/>
      <c r="D57" s="111" t="s">
        <v>104</v>
      </c>
      <c r="E57" s="112"/>
      <c r="F57" s="111" t="s">
        <v>105</v>
      </c>
      <c r="G57" s="112"/>
      <c r="H57" s="111" t="s">
        <v>106</v>
      </c>
      <c r="I57" s="112"/>
      <c r="J57" s="111" t="s">
        <v>30</v>
      </c>
      <c r="K57" s="112"/>
      <c r="L57" s="111" t="s">
        <v>325</v>
      </c>
      <c r="M57" s="112"/>
      <c r="N57" s="111" t="s">
        <v>326</v>
      </c>
      <c r="O57" s="112"/>
      <c r="P57" s="111" t="s">
        <v>327</v>
      </c>
      <c r="Q57" s="112"/>
      <c r="R57" s="111" t="s">
        <v>145</v>
      </c>
      <c r="S57" s="112"/>
      <c r="T57" s="111" t="s">
        <v>148</v>
      </c>
      <c r="U57" s="112"/>
      <c r="V57" s="111" t="s">
        <v>149</v>
      </c>
      <c r="W57" s="112"/>
      <c r="X57" s="111" t="s">
        <v>306</v>
      </c>
      <c r="Y57" s="112"/>
      <c r="Z57" s="111" t="s">
        <v>162</v>
      </c>
      <c r="AA57" s="112"/>
    </row>
    <row r="58" spans="1:27" ht="26.1" customHeight="1" x14ac:dyDescent="0.25">
      <c r="A58" s="42" t="s">
        <v>194</v>
      </c>
      <c r="B58" s="111" t="s">
        <v>320</v>
      </c>
      <c r="C58" s="112"/>
      <c r="D58" s="111" t="s">
        <v>321</v>
      </c>
      <c r="E58" s="112"/>
      <c r="F58" s="111" t="s">
        <v>322</v>
      </c>
      <c r="G58" s="112"/>
      <c r="H58" s="111" t="s">
        <v>323</v>
      </c>
      <c r="I58" s="112"/>
      <c r="J58" s="111" t="s">
        <v>324</v>
      </c>
      <c r="K58" s="112"/>
      <c r="L58" s="111" t="s">
        <v>328</v>
      </c>
      <c r="M58" s="112"/>
      <c r="N58" s="111" t="s">
        <v>329</v>
      </c>
      <c r="O58" s="112"/>
      <c r="P58" s="111" t="s">
        <v>330</v>
      </c>
      <c r="Q58" s="112"/>
      <c r="R58" s="111" t="s">
        <v>331</v>
      </c>
      <c r="S58" s="112"/>
      <c r="T58" s="111" t="s">
        <v>332</v>
      </c>
      <c r="U58" s="112"/>
      <c r="V58" s="111" t="s">
        <v>333</v>
      </c>
      <c r="W58" s="112"/>
      <c r="X58" s="111" t="s">
        <v>334</v>
      </c>
      <c r="Y58" s="112"/>
      <c r="Z58" s="111" t="s">
        <v>335</v>
      </c>
      <c r="AA58" s="112"/>
    </row>
    <row r="60" spans="1:27" ht="23.1" customHeight="1" x14ac:dyDescent="0.25">
      <c r="A60" s="42" t="s">
        <v>2</v>
      </c>
      <c r="B60" s="111" t="s">
        <v>135</v>
      </c>
      <c r="C60" s="112"/>
      <c r="D60" s="111" t="s">
        <v>163</v>
      </c>
      <c r="E60" s="112"/>
      <c r="F60" s="111" t="s">
        <v>336</v>
      </c>
      <c r="G60" s="112"/>
      <c r="H60" s="111" t="s">
        <v>340</v>
      </c>
      <c r="I60" s="112"/>
      <c r="J60" s="111" t="s">
        <v>167</v>
      </c>
      <c r="K60" s="112"/>
      <c r="L60" s="111" t="s">
        <v>168</v>
      </c>
      <c r="M60" s="112"/>
      <c r="N60" s="119" t="s">
        <v>211</v>
      </c>
      <c r="O60" s="120"/>
      <c r="P60" s="119" t="s">
        <v>212</v>
      </c>
      <c r="Q60" s="120"/>
      <c r="R60" s="119" t="s">
        <v>347</v>
      </c>
      <c r="S60" s="120"/>
      <c r="T60" s="119" t="s">
        <v>348</v>
      </c>
      <c r="U60" s="120"/>
      <c r="V60" s="119" t="s">
        <v>210</v>
      </c>
      <c r="W60" s="120"/>
      <c r="X60" s="119" t="s">
        <v>207</v>
      </c>
      <c r="Y60" s="120"/>
      <c r="Z60" s="119" t="s">
        <v>209</v>
      </c>
      <c r="AA60" s="120"/>
    </row>
    <row r="61" spans="1:27" ht="26.1" customHeight="1" x14ac:dyDescent="0.25">
      <c r="A61" s="42" t="s">
        <v>194</v>
      </c>
      <c r="B61" s="111" t="s">
        <v>338</v>
      </c>
      <c r="C61" s="112"/>
      <c r="D61" s="111" t="s">
        <v>339</v>
      </c>
      <c r="E61" s="112"/>
      <c r="F61" s="111" t="s">
        <v>337</v>
      </c>
      <c r="G61" s="112"/>
      <c r="H61" s="111" t="s">
        <v>341</v>
      </c>
      <c r="I61" s="112"/>
      <c r="J61" s="111" t="s">
        <v>342</v>
      </c>
      <c r="K61" s="112"/>
      <c r="L61" s="111" t="s">
        <v>343</v>
      </c>
      <c r="M61" s="112"/>
      <c r="N61" s="119" t="s">
        <v>425</v>
      </c>
      <c r="O61" s="120"/>
      <c r="P61" s="119" t="s">
        <v>726</v>
      </c>
      <c r="Q61" s="120"/>
      <c r="R61" s="119" t="s">
        <v>423</v>
      </c>
      <c r="S61" s="120"/>
      <c r="T61" s="119" t="s">
        <v>580</v>
      </c>
      <c r="U61" s="120"/>
      <c r="V61" s="119" t="s">
        <v>352</v>
      </c>
      <c r="W61" s="120"/>
      <c r="X61" s="119" t="s">
        <v>420</v>
      </c>
      <c r="Y61" s="120"/>
      <c r="Z61" s="119" t="s">
        <v>419</v>
      </c>
      <c r="AA61" s="120"/>
    </row>
    <row r="63" spans="1:27" ht="23.1" customHeight="1" x14ac:dyDescent="0.25">
      <c r="A63" s="42" t="s">
        <v>2</v>
      </c>
      <c r="B63" s="119" t="s">
        <v>208</v>
      </c>
      <c r="C63" s="120"/>
      <c r="D63" s="111" t="s">
        <v>344</v>
      </c>
      <c r="E63" s="112"/>
      <c r="F63" s="119" t="s">
        <v>213</v>
      </c>
      <c r="G63" s="120"/>
      <c r="H63" s="119" t="s">
        <v>217</v>
      </c>
      <c r="I63" s="120"/>
      <c r="J63" s="119" t="s">
        <v>218</v>
      </c>
      <c r="K63" s="120"/>
      <c r="L63" s="111" t="s">
        <v>215</v>
      </c>
      <c r="M63" s="112"/>
      <c r="N63" s="111" t="s">
        <v>219</v>
      </c>
      <c r="O63" s="112"/>
      <c r="P63" s="119" t="s">
        <v>349</v>
      </c>
      <c r="Q63" s="120"/>
      <c r="R63" s="119" t="s">
        <v>350</v>
      </c>
      <c r="S63" s="120"/>
      <c r="T63" s="119" t="s">
        <v>353</v>
      </c>
      <c r="U63" s="120"/>
      <c r="V63" s="119" t="s">
        <v>354</v>
      </c>
      <c r="W63" s="120"/>
      <c r="X63" s="119" t="s">
        <v>355</v>
      </c>
      <c r="Y63" s="120"/>
      <c r="Z63" s="119" t="s">
        <v>356</v>
      </c>
      <c r="AA63" s="120"/>
    </row>
    <row r="64" spans="1:27" ht="26.1" customHeight="1" x14ac:dyDescent="0.25">
      <c r="A64" s="42" t="s">
        <v>194</v>
      </c>
      <c r="B64" s="119" t="s">
        <v>417</v>
      </c>
      <c r="C64" s="120"/>
      <c r="D64" s="111" t="s">
        <v>345</v>
      </c>
      <c r="E64" s="112"/>
      <c r="F64" s="119" t="s">
        <v>575</v>
      </c>
      <c r="G64" s="120"/>
      <c r="H64" s="119" t="s">
        <v>576</v>
      </c>
      <c r="I64" s="120"/>
      <c r="J64" s="119" t="s">
        <v>577</v>
      </c>
      <c r="K64" s="120"/>
      <c r="L64" s="111" t="s">
        <v>578</v>
      </c>
      <c r="M64" s="112"/>
      <c r="N64" s="111" t="s">
        <v>579</v>
      </c>
      <c r="O64" s="112"/>
      <c r="P64" s="119" t="s">
        <v>424</v>
      </c>
      <c r="Q64" s="120"/>
      <c r="R64" s="119" t="s">
        <v>444</v>
      </c>
      <c r="S64" s="120"/>
      <c r="T64" s="119" t="s">
        <v>359</v>
      </c>
      <c r="U64" s="120"/>
      <c r="V64" s="119" t="s">
        <v>360</v>
      </c>
      <c r="W64" s="120"/>
      <c r="X64" s="119" t="s">
        <v>357</v>
      </c>
      <c r="Y64" s="120"/>
      <c r="Z64" s="119" t="s">
        <v>358</v>
      </c>
      <c r="AA64" s="120"/>
    </row>
    <row r="66" spans="1:27" ht="23.1" customHeight="1" x14ac:dyDescent="0.25">
      <c r="A66" s="42" t="s">
        <v>2</v>
      </c>
      <c r="B66" s="111" t="s">
        <v>430</v>
      </c>
      <c r="C66" s="112"/>
      <c r="D66" s="111" t="s">
        <v>446</v>
      </c>
      <c r="E66" s="112"/>
      <c r="F66" s="111" t="s">
        <v>494</v>
      </c>
      <c r="G66" s="112"/>
      <c r="H66" s="111" t="s">
        <v>496</v>
      </c>
      <c r="I66" s="112"/>
      <c r="J66" s="111" t="s">
        <v>498</v>
      </c>
      <c r="K66" s="112"/>
      <c r="L66" s="111" t="s">
        <v>500</v>
      </c>
      <c r="M66" s="112"/>
      <c r="N66" s="111" t="s">
        <v>502</v>
      </c>
      <c r="O66" s="112"/>
      <c r="P66" s="111" t="s">
        <v>216</v>
      </c>
      <c r="Q66" s="112"/>
      <c r="R66" s="111" t="s">
        <v>421</v>
      </c>
      <c r="S66" s="112"/>
      <c r="T66" s="111" t="s">
        <v>426</v>
      </c>
      <c r="U66" s="112"/>
      <c r="V66" s="111" t="s">
        <v>427</v>
      </c>
      <c r="W66" s="112"/>
      <c r="X66" s="111" t="s">
        <v>432</v>
      </c>
      <c r="Y66" s="112"/>
      <c r="Z66" s="119" t="s">
        <v>436</v>
      </c>
      <c r="AA66" s="120"/>
    </row>
    <row r="67" spans="1:27" ht="26.1" customHeight="1" x14ac:dyDescent="0.25">
      <c r="A67" s="42" t="s">
        <v>194</v>
      </c>
      <c r="B67" s="111" t="s">
        <v>431</v>
      </c>
      <c r="C67" s="112"/>
      <c r="D67" s="111" t="s">
        <v>493</v>
      </c>
      <c r="E67" s="112"/>
      <c r="F67" s="111" t="s">
        <v>495</v>
      </c>
      <c r="G67" s="112"/>
      <c r="H67" s="111" t="s">
        <v>497</v>
      </c>
      <c r="I67" s="112"/>
      <c r="J67" s="111" t="s">
        <v>499</v>
      </c>
      <c r="K67" s="112"/>
      <c r="L67" s="111" t="s">
        <v>501</v>
      </c>
      <c r="M67" s="112"/>
      <c r="N67" s="111" t="s">
        <v>503</v>
      </c>
      <c r="O67" s="112"/>
      <c r="P67" s="111" t="s">
        <v>418</v>
      </c>
      <c r="Q67" s="112"/>
      <c r="R67" s="111" t="s">
        <v>422</v>
      </c>
      <c r="S67" s="112"/>
      <c r="T67" s="111" t="s">
        <v>428</v>
      </c>
      <c r="U67" s="112"/>
      <c r="V67" s="111" t="s">
        <v>429</v>
      </c>
      <c r="W67" s="112"/>
      <c r="X67" s="111" t="s">
        <v>433</v>
      </c>
      <c r="Y67" s="112"/>
      <c r="Z67" s="119" t="s">
        <v>434</v>
      </c>
      <c r="AA67" s="120"/>
    </row>
    <row r="69" spans="1:27" ht="23.1" customHeight="1" x14ac:dyDescent="0.25">
      <c r="A69" s="42" t="s">
        <v>2</v>
      </c>
      <c r="B69" s="119" t="s">
        <v>369</v>
      </c>
      <c r="C69" s="120"/>
      <c r="D69" s="119" t="s">
        <v>370</v>
      </c>
      <c r="E69" s="120"/>
      <c r="F69" s="119" t="s">
        <v>371</v>
      </c>
      <c r="G69" s="120"/>
      <c r="H69" s="119" t="s">
        <v>372</v>
      </c>
      <c r="I69" s="120"/>
      <c r="J69" s="119" t="s">
        <v>373</v>
      </c>
      <c r="K69" s="120"/>
      <c r="L69" s="119" t="s">
        <v>374</v>
      </c>
      <c r="M69" s="120"/>
      <c r="N69" s="119" t="s">
        <v>375</v>
      </c>
      <c r="O69" s="120"/>
      <c r="P69" s="119" t="s">
        <v>376</v>
      </c>
      <c r="Q69" s="120"/>
      <c r="R69" s="119" t="s">
        <v>377</v>
      </c>
      <c r="S69" s="120"/>
      <c r="T69" s="119" t="s">
        <v>378</v>
      </c>
      <c r="U69" s="120"/>
      <c r="V69" s="119" t="s">
        <v>379</v>
      </c>
      <c r="W69" s="120"/>
      <c r="X69" s="119" t="s">
        <v>380</v>
      </c>
      <c r="Y69" s="120"/>
      <c r="Z69" s="111" t="s">
        <v>381</v>
      </c>
      <c r="AA69" s="112"/>
    </row>
    <row r="70" spans="1:27" ht="26.1" customHeight="1" x14ac:dyDescent="0.25">
      <c r="A70" s="42" t="s">
        <v>194</v>
      </c>
      <c r="B70" s="119" t="s">
        <v>393</v>
      </c>
      <c r="C70" s="120"/>
      <c r="D70" s="119" t="s">
        <v>394</v>
      </c>
      <c r="E70" s="120"/>
      <c r="F70" s="119" t="s">
        <v>395</v>
      </c>
      <c r="G70" s="120"/>
      <c r="H70" s="119" t="s">
        <v>396</v>
      </c>
      <c r="I70" s="120"/>
      <c r="J70" s="119" t="s">
        <v>397</v>
      </c>
      <c r="K70" s="120"/>
      <c r="L70" s="119" t="s">
        <v>398</v>
      </c>
      <c r="M70" s="120"/>
      <c r="N70" s="119" t="s">
        <v>399</v>
      </c>
      <c r="O70" s="120"/>
      <c r="P70" s="119" t="s">
        <v>400</v>
      </c>
      <c r="Q70" s="120"/>
      <c r="R70" s="119" t="s">
        <v>401</v>
      </c>
      <c r="S70" s="120"/>
      <c r="T70" s="119" t="s">
        <v>402</v>
      </c>
      <c r="U70" s="120"/>
      <c r="V70" s="119" t="s">
        <v>403</v>
      </c>
      <c r="W70" s="120"/>
      <c r="X70" s="119" t="s">
        <v>404</v>
      </c>
      <c r="Y70" s="120"/>
      <c r="Z70" s="111" t="s">
        <v>405</v>
      </c>
      <c r="AA70" s="112"/>
    </row>
    <row r="72" spans="1:27" ht="23.1" customHeight="1" x14ac:dyDescent="0.25">
      <c r="A72" s="42" t="s">
        <v>2</v>
      </c>
      <c r="B72" s="111" t="s">
        <v>382</v>
      </c>
      <c r="C72" s="112"/>
      <c r="D72" s="111" t="s">
        <v>383</v>
      </c>
      <c r="E72" s="112"/>
      <c r="F72" s="111" t="s">
        <v>384</v>
      </c>
      <c r="G72" s="112"/>
      <c r="H72" s="111" t="s">
        <v>385</v>
      </c>
      <c r="I72" s="112"/>
      <c r="J72" s="111" t="s">
        <v>386</v>
      </c>
      <c r="K72" s="112"/>
      <c r="L72" s="111" t="s">
        <v>387</v>
      </c>
      <c r="M72" s="112"/>
      <c r="N72" s="111" t="s">
        <v>388</v>
      </c>
      <c r="O72" s="112"/>
      <c r="P72" s="111" t="s">
        <v>389</v>
      </c>
      <c r="Q72" s="112"/>
      <c r="R72" s="111" t="s">
        <v>390</v>
      </c>
      <c r="S72" s="112"/>
      <c r="T72" s="111" t="s">
        <v>391</v>
      </c>
      <c r="U72" s="112"/>
      <c r="V72" s="111" t="s">
        <v>392</v>
      </c>
      <c r="W72" s="112"/>
      <c r="X72" s="119" t="s">
        <v>435</v>
      </c>
      <c r="Y72" s="120"/>
      <c r="Z72" s="119" t="s">
        <v>438</v>
      </c>
      <c r="AA72" s="120"/>
    </row>
    <row r="73" spans="1:27" ht="26.1" customHeight="1" x14ac:dyDescent="0.25">
      <c r="A73" s="42" t="s">
        <v>194</v>
      </c>
      <c r="B73" s="111" t="s">
        <v>406</v>
      </c>
      <c r="C73" s="112"/>
      <c r="D73" s="111" t="s">
        <v>407</v>
      </c>
      <c r="E73" s="112"/>
      <c r="F73" s="111" t="s">
        <v>408</v>
      </c>
      <c r="G73" s="112"/>
      <c r="H73" s="111" t="s">
        <v>409</v>
      </c>
      <c r="I73" s="112"/>
      <c r="J73" s="111" t="s">
        <v>410</v>
      </c>
      <c r="K73" s="112"/>
      <c r="L73" s="111" t="s">
        <v>411</v>
      </c>
      <c r="M73" s="112"/>
      <c r="N73" s="111" t="s">
        <v>412</v>
      </c>
      <c r="O73" s="112"/>
      <c r="P73" s="111" t="s">
        <v>413</v>
      </c>
      <c r="Q73" s="112"/>
      <c r="R73" s="111" t="s">
        <v>414</v>
      </c>
      <c r="S73" s="112"/>
      <c r="T73" s="111" t="s">
        <v>415</v>
      </c>
      <c r="U73" s="112"/>
      <c r="V73" s="111" t="s">
        <v>416</v>
      </c>
      <c r="W73" s="112"/>
      <c r="X73" s="119" t="s">
        <v>437</v>
      </c>
      <c r="Y73" s="120"/>
      <c r="Z73" s="119" t="s">
        <v>439</v>
      </c>
      <c r="AA73" s="120"/>
    </row>
    <row r="75" spans="1:27" ht="23.1" customHeight="1" x14ac:dyDescent="0.25">
      <c r="A75" s="42" t="s">
        <v>2</v>
      </c>
      <c r="B75" s="111" t="s">
        <v>440</v>
      </c>
      <c r="C75" s="112"/>
      <c r="D75" s="111" t="s">
        <v>441</v>
      </c>
      <c r="E75" s="112"/>
      <c r="F75" s="119" t="s">
        <v>210</v>
      </c>
      <c r="G75" s="120"/>
      <c r="H75" s="111" t="s">
        <v>492</v>
      </c>
      <c r="I75" s="112"/>
      <c r="J75" s="111" t="s">
        <v>448</v>
      </c>
      <c r="K75" s="112"/>
      <c r="L75" s="111" t="s">
        <v>450</v>
      </c>
      <c r="M75" s="112"/>
      <c r="N75" s="111" t="s">
        <v>452</v>
      </c>
      <c r="O75" s="112"/>
      <c r="P75" s="111" t="s">
        <v>454</v>
      </c>
      <c r="Q75" s="112"/>
      <c r="R75" s="111" t="s">
        <v>456</v>
      </c>
      <c r="S75" s="112"/>
      <c r="T75" s="111" t="s">
        <v>458</v>
      </c>
      <c r="U75" s="112"/>
      <c r="V75" s="119" t="s">
        <v>460</v>
      </c>
      <c r="W75" s="120"/>
      <c r="X75" s="119" t="s">
        <v>462</v>
      </c>
      <c r="Y75" s="120"/>
      <c r="Z75" s="119" t="s">
        <v>464</v>
      </c>
      <c r="AA75" s="120"/>
    </row>
    <row r="76" spans="1:27" ht="26.1" customHeight="1" x14ac:dyDescent="0.25">
      <c r="A76" s="42" t="s">
        <v>194</v>
      </c>
      <c r="B76" s="111" t="s">
        <v>442</v>
      </c>
      <c r="C76" s="112"/>
      <c r="D76" s="111" t="s">
        <v>443</v>
      </c>
      <c r="E76" s="112"/>
      <c r="F76" s="119" t="s">
        <v>445</v>
      </c>
      <c r="G76" s="120"/>
      <c r="H76" s="111" t="s">
        <v>447</v>
      </c>
      <c r="I76" s="112"/>
      <c r="J76" s="111" t="s">
        <v>449</v>
      </c>
      <c r="K76" s="112"/>
      <c r="L76" s="111" t="s">
        <v>451</v>
      </c>
      <c r="M76" s="112"/>
      <c r="N76" s="111" t="s">
        <v>453</v>
      </c>
      <c r="O76" s="112"/>
      <c r="P76" s="111" t="s">
        <v>455</v>
      </c>
      <c r="Q76" s="112"/>
      <c r="R76" s="111" t="s">
        <v>457</v>
      </c>
      <c r="S76" s="112"/>
      <c r="T76" s="111" t="s">
        <v>459</v>
      </c>
      <c r="U76" s="112"/>
      <c r="V76" s="119" t="s">
        <v>461</v>
      </c>
      <c r="W76" s="120"/>
      <c r="X76" s="119" t="s">
        <v>463</v>
      </c>
      <c r="Y76" s="120"/>
      <c r="Z76" s="119" t="s">
        <v>465</v>
      </c>
      <c r="AA76" s="120"/>
    </row>
    <row r="78" spans="1:27" ht="23.1" customHeight="1" x14ac:dyDescent="0.25">
      <c r="A78" s="42" t="s">
        <v>2</v>
      </c>
      <c r="B78" s="111" t="s">
        <v>466</v>
      </c>
      <c r="C78" s="112"/>
      <c r="D78" s="111" t="s">
        <v>468</v>
      </c>
      <c r="E78" s="112"/>
      <c r="F78" s="111" t="s">
        <v>470</v>
      </c>
      <c r="G78" s="112"/>
      <c r="H78" s="111" t="s">
        <v>472</v>
      </c>
      <c r="I78" s="112"/>
      <c r="J78" s="111" t="s">
        <v>474</v>
      </c>
      <c r="K78" s="112"/>
      <c r="L78" s="111" t="s">
        <v>476</v>
      </c>
      <c r="M78" s="112"/>
      <c r="N78" s="111" t="s">
        <v>478</v>
      </c>
      <c r="O78" s="112"/>
      <c r="P78" s="111" t="s">
        <v>480</v>
      </c>
      <c r="Q78" s="112"/>
      <c r="R78" s="111" t="s">
        <v>482</v>
      </c>
      <c r="S78" s="112"/>
      <c r="T78" s="111" t="s">
        <v>484</v>
      </c>
      <c r="U78" s="112"/>
      <c r="V78" s="111" t="s">
        <v>486</v>
      </c>
      <c r="W78" s="112"/>
      <c r="X78" s="111" t="s">
        <v>488</v>
      </c>
      <c r="Y78" s="112"/>
      <c r="Z78" s="111" t="s">
        <v>490</v>
      </c>
      <c r="AA78" s="112"/>
    </row>
    <row r="79" spans="1:27" ht="26.1" customHeight="1" x14ac:dyDescent="0.25">
      <c r="A79" s="42" t="s">
        <v>194</v>
      </c>
      <c r="B79" s="111" t="s">
        <v>467</v>
      </c>
      <c r="C79" s="112"/>
      <c r="D79" s="111" t="s">
        <v>469</v>
      </c>
      <c r="E79" s="112"/>
      <c r="F79" s="111" t="s">
        <v>471</v>
      </c>
      <c r="G79" s="112"/>
      <c r="H79" s="111" t="s">
        <v>473</v>
      </c>
      <c r="I79" s="112"/>
      <c r="J79" s="111" t="s">
        <v>475</v>
      </c>
      <c r="K79" s="112"/>
      <c r="L79" s="111" t="s">
        <v>477</v>
      </c>
      <c r="M79" s="112"/>
      <c r="N79" s="111" t="s">
        <v>479</v>
      </c>
      <c r="O79" s="112"/>
      <c r="P79" s="111" t="s">
        <v>481</v>
      </c>
      <c r="Q79" s="112"/>
      <c r="R79" s="111" t="s">
        <v>483</v>
      </c>
      <c r="S79" s="112"/>
      <c r="T79" s="111" t="s">
        <v>485</v>
      </c>
      <c r="U79" s="112"/>
      <c r="V79" s="111" t="s">
        <v>487</v>
      </c>
      <c r="W79" s="112"/>
      <c r="X79" s="111" t="s">
        <v>489</v>
      </c>
      <c r="Y79" s="112"/>
      <c r="Z79" s="111" t="s">
        <v>491</v>
      </c>
      <c r="AA79" s="112"/>
    </row>
    <row r="81" spans="1:27" ht="23.1" customHeight="1" x14ac:dyDescent="0.25">
      <c r="A81" s="42" t="s">
        <v>2</v>
      </c>
      <c r="B81" s="119" t="s">
        <v>518</v>
      </c>
      <c r="C81" s="120"/>
      <c r="D81" s="111" t="s">
        <v>520</v>
      </c>
      <c r="E81" s="112"/>
      <c r="F81" s="111" t="s">
        <v>523</v>
      </c>
      <c r="G81" s="112"/>
      <c r="H81" s="111"/>
      <c r="I81" s="112"/>
      <c r="J81" s="111"/>
      <c r="K81" s="112"/>
      <c r="L81" s="111"/>
      <c r="M81" s="112"/>
      <c r="N81" s="111" t="s">
        <v>516</v>
      </c>
      <c r="O81" s="112"/>
      <c r="P81" s="119" t="s">
        <v>506</v>
      </c>
      <c r="Q81" s="120"/>
      <c r="R81" s="119" t="s">
        <v>509</v>
      </c>
      <c r="S81" s="120"/>
      <c r="T81" s="119" t="s">
        <v>510</v>
      </c>
      <c r="U81" s="120"/>
      <c r="V81" s="119" t="s">
        <v>512</v>
      </c>
      <c r="W81" s="120"/>
      <c r="X81" s="119" t="s">
        <v>513</v>
      </c>
      <c r="Y81" s="120"/>
      <c r="Z81" s="119" t="s">
        <v>504</v>
      </c>
      <c r="AA81" s="120"/>
    </row>
    <row r="82" spans="1:27" ht="26.1" customHeight="1" x14ac:dyDescent="0.25">
      <c r="A82" s="42" t="s">
        <v>194</v>
      </c>
      <c r="B82" s="119" t="s">
        <v>519</v>
      </c>
      <c r="C82" s="120"/>
      <c r="D82" s="111" t="s">
        <v>521</v>
      </c>
      <c r="E82" s="112"/>
      <c r="F82" s="111" t="s">
        <v>522</v>
      </c>
      <c r="G82" s="112"/>
      <c r="H82" s="111"/>
      <c r="I82" s="112"/>
      <c r="J82" s="111"/>
      <c r="K82" s="112"/>
      <c r="L82" s="111"/>
      <c r="M82" s="112"/>
      <c r="N82" s="111" t="s">
        <v>505</v>
      </c>
      <c r="O82" s="112"/>
      <c r="P82" s="119" t="s">
        <v>507</v>
      </c>
      <c r="Q82" s="120"/>
      <c r="R82" s="119" t="s">
        <v>508</v>
      </c>
      <c r="S82" s="120"/>
      <c r="T82" s="119" t="s">
        <v>511</v>
      </c>
      <c r="U82" s="120"/>
      <c r="V82" s="119" t="s">
        <v>514</v>
      </c>
      <c r="W82" s="120"/>
      <c r="X82" s="119" t="s">
        <v>515</v>
      </c>
      <c r="Y82" s="120"/>
      <c r="Z82" s="119" t="s">
        <v>517</v>
      </c>
      <c r="AA82" s="120"/>
    </row>
    <row r="84" spans="1:27" ht="23.1" customHeight="1" x14ac:dyDescent="0.25">
      <c r="A84" s="42" t="s">
        <v>2</v>
      </c>
      <c r="B84" s="119" t="s">
        <v>361</v>
      </c>
      <c r="C84" s="120"/>
      <c r="D84" s="119" t="s">
        <v>363</v>
      </c>
      <c r="E84" s="120"/>
      <c r="F84" s="119" t="s">
        <v>362</v>
      </c>
      <c r="G84" s="120"/>
      <c r="H84" s="119" t="s">
        <v>364</v>
      </c>
      <c r="I84" s="120"/>
      <c r="J84" s="111" t="s">
        <v>365</v>
      </c>
      <c r="K84" s="112"/>
      <c r="L84" s="111" t="s">
        <v>366</v>
      </c>
      <c r="M84" s="112"/>
      <c r="N84" s="111" t="s">
        <v>528</v>
      </c>
      <c r="O84" s="112"/>
      <c r="P84" s="111" t="s">
        <v>529</v>
      </c>
      <c r="Q84" s="112"/>
      <c r="R84" s="111" t="s">
        <v>530</v>
      </c>
      <c r="S84" s="112"/>
      <c r="T84" s="119" t="s">
        <v>534</v>
      </c>
      <c r="U84" s="120"/>
      <c r="V84" s="119" t="s">
        <v>535</v>
      </c>
      <c r="W84" s="120"/>
      <c r="X84" s="119" t="s">
        <v>536</v>
      </c>
      <c r="Y84" s="120"/>
      <c r="Z84" s="119" t="s">
        <v>537</v>
      </c>
      <c r="AA84" s="120"/>
    </row>
    <row r="85" spans="1:27" ht="26.1" customHeight="1" x14ac:dyDescent="0.25">
      <c r="A85" s="42" t="s">
        <v>194</v>
      </c>
      <c r="B85" s="119" t="s">
        <v>524</v>
      </c>
      <c r="C85" s="120"/>
      <c r="D85" s="119" t="s">
        <v>525</v>
      </c>
      <c r="E85" s="120"/>
      <c r="F85" s="119" t="s">
        <v>526</v>
      </c>
      <c r="G85" s="120"/>
      <c r="H85" s="119" t="s">
        <v>527</v>
      </c>
      <c r="I85" s="120"/>
      <c r="J85" s="111" t="s">
        <v>367</v>
      </c>
      <c r="K85" s="112"/>
      <c r="L85" s="111" t="s">
        <v>368</v>
      </c>
      <c r="M85" s="112"/>
      <c r="N85" s="111" t="s">
        <v>531</v>
      </c>
      <c r="O85" s="112"/>
      <c r="P85" s="111" t="s">
        <v>532</v>
      </c>
      <c r="Q85" s="112"/>
      <c r="R85" s="111" t="s">
        <v>533</v>
      </c>
      <c r="S85" s="112"/>
      <c r="T85" s="119" t="s">
        <v>538</v>
      </c>
      <c r="U85" s="120"/>
      <c r="V85" s="119" t="s">
        <v>539</v>
      </c>
      <c r="W85" s="120"/>
      <c r="X85" s="119" t="s">
        <v>540</v>
      </c>
      <c r="Y85" s="120"/>
      <c r="Z85" s="119" t="s">
        <v>541</v>
      </c>
      <c r="AA85" s="120"/>
    </row>
    <row r="87" spans="1:27" ht="23.1" customHeight="1" x14ac:dyDescent="0.25">
      <c r="A87" s="42" t="s">
        <v>2</v>
      </c>
      <c r="B87" s="119" t="s">
        <v>542</v>
      </c>
      <c r="C87" s="120"/>
      <c r="D87" s="119" t="s">
        <v>543</v>
      </c>
      <c r="E87" s="120"/>
      <c r="F87" s="119" t="s">
        <v>544</v>
      </c>
      <c r="G87" s="120"/>
      <c r="H87" s="111" t="s">
        <v>548</v>
      </c>
      <c r="I87" s="112"/>
      <c r="J87" s="111" t="s">
        <v>550</v>
      </c>
      <c r="K87" s="112"/>
      <c r="L87" s="111" t="s">
        <v>552</v>
      </c>
      <c r="M87" s="112"/>
      <c r="N87" s="111" t="s">
        <v>553</v>
      </c>
      <c r="O87" s="112"/>
      <c r="P87" s="111" t="s">
        <v>556</v>
      </c>
      <c r="Q87" s="112"/>
      <c r="R87" s="111" t="s">
        <v>557</v>
      </c>
      <c r="S87" s="112"/>
      <c r="T87" s="111" t="s">
        <v>560</v>
      </c>
      <c r="U87" s="112"/>
      <c r="V87" s="111" t="s">
        <v>562</v>
      </c>
      <c r="W87" s="112"/>
      <c r="X87" s="111" t="s">
        <v>564</v>
      </c>
      <c r="Y87" s="112"/>
      <c r="Z87" s="111"/>
      <c r="AA87" s="112"/>
    </row>
    <row r="88" spans="1:27" ht="26.1" customHeight="1" x14ac:dyDescent="0.25">
      <c r="A88" s="42" t="s">
        <v>194</v>
      </c>
      <c r="B88" s="119" t="s">
        <v>545</v>
      </c>
      <c r="C88" s="120"/>
      <c r="D88" s="119" t="s">
        <v>546</v>
      </c>
      <c r="E88" s="120"/>
      <c r="F88" s="119" t="s">
        <v>547</v>
      </c>
      <c r="G88" s="120"/>
      <c r="H88" s="111" t="s">
        <v>549</v>
      </c>
      <c r="I88" s="112"/>
      <c r="J88" s="111" t="s">
        <v>551</v>
      </c>
      <c r="K88" s="112"/>
      <c r="L88" s="111" t="s">
        <v>554</v>
      </c>
      <c r="M88" s="112"/>
      <c r="N88" s="111" t="s">
        <v>555</v>
      </c>
      <c r="O88" s="112"/>
      <c r="P88" s="111" t="s">
        <v>558</v>
      </c>
      <c r="Q88" s="112"/>
      <c r="R88" s="111" t="s">
        <v>559</v>
      </c>
      <c r="S88" s="112"/>
      <c r="T88" s="111" t="s">
        <v>561</v>
      </c>
      <c r="U88" s="112"/>
      <c r="V88" s="111" t="s">
        <v>563</v>
      </c>
      <c r="W88" s="112"/>
      <c r="X88" s="111" t="s">
        <v>565</v>
      </c>
      <c r="Y88" s="112"/>
      <c r="Z88" s="111"/>
      <c r="AA88" s="112"/>
    </row>
    <row r="90" spans="1:27" ht="23.1" customHeight="1" x14ac:dyDescent="0.25">
      <c r="A90" s="42" t="s">
        <v>2</v>
      </c>
      <c r="B90" s="111" t="s">
        <v>663</v>
      </c>
      <c r="C90" s="112"/>
      <c r="D90" s="111" t="s">
        <v>664</v>
      </c>
      <c r="E90" s="112"/>
      <c r="F90" s="111" t="s">
        <v>665</v>
      </c>
      <c r="G90" s="112"/>
      <c r="H90" s="111" t="s">
        <v>666</v>
      </c>
      <c r="I90" s="112"/>
      <c r="J90" s="111" t="s">
        <v>667</v>
      </c>
      <c r="K90" s="112"/>
      <c r="L90" s="111" t="s">
        <v>668</v>
      </c>
      <c r="M90" s="112"/>
      <c r="N90" s="111" t="s">
        <v>669</v>
      </c>
      <c r="O90" s="112"/>
      <c r="P90" s="111" t="s">
        <v>670</v>
      </c>
      <c r="Q90" s="112"/>
      <c r="R90" s="111" t="s">
        <v>671</v>
      </c>
      <c r="S90" s="112"/>
      <c r="T90" s="111" t="s">
        <v>672</v>
      </c>
      <c r="U90" s="112"/>
      <c r="V90" s="111" t="s">
        <v>673</v>
      </c>
      <c r="W90" s="112"/>
      <c r="X90" s="111" t="s">
        <v>674</v>
      </c>
      <c r="Y90" s="112"/>
      <c r="Z90" s="111"/>
      <c r="AA90" s="112"/>
    </row>
    <row r="91" spans="1:27" ht="26.1" customHeight="1" x14ac:dyDescent="0.25">
      <c r="A91" s="42" t="s">
        <v>194</v>
      </c>
      <c r="B91" s="111" t="s">
        <v>651</v>
      </c>
      <c r="C91" s="112"/>
      <c r="D91" s="111" t="s">
        <v>652</v>
      </c>
      <c r="E91" s="112"/>
      <c r="F91" s="111" t="s">
        <v>653</v>
      </c>
      <c r="G91" s="112"/>
      <c r="H91" s="111" t="s">
        <v>654</v>
      </c>
      <c r="I91" s="112"/>
      <c r="J91" s="111" t="s">
        <v>655</v>
      </c>
      <c r="K91" s="112"/>
      <c r="L91" s="111" t="s">
        <v>656</v>
      </c>
      <c r="M91" s="112"/>
      <c r="N91" s="111" t="s">
        <v>657</v>
      </c>
      <c r="O91" s="112"/>
      <c r="P91" s="111" t="s">
        <v>658</v>
      </c>
      <c r="Q91" s="112"/>
      <c r="R91" s="111" t="s">
        <v>659</v>
      </c>
      <c r="S91" s="112"/>
      <c r="T91" s="111" t="s">
        <v>660</v>
      </c>
      <c r="U91" s="112"/>
      <c r="V91" s="111" t="s">
        <v>661</v>
      </c>
      <c r="W91" s="112"/>
      <c r="X91" s="111" t="s">
        <v>662</v>
      </c>
      <c r="Y91" s="112"/>
      <c r="Z91" s="111"/>
      <c r="AA91" s="112"/>
    </row>
  </sheetData>
  <mergeCells count="536">
    <mergeCell ref="T88:U88"/>
    <mergeCell ref="V88:W88"/>
    <mergeCell ref="X88:Y88"/>
    <mergeCell ref="Z88:AA88"/>
    <mergeCell ref="B88:C88"/>
    <mergeCell ref="D88:E88"/>
    <mergeCell ref="F88:G88"/>
    <mergeCell ref="H88:I88"/>
    <mergeCell ref="J88:K88"/>
    <mergeCell ref="L88:M88"/>
    <mergeCell ref="N88:O88"/>
    <mergeCell ref="P88:Q88"/>
    <mergeCell ref="R88:S88"/>
    <mergeCell ref="T85:U85"/>
    <mergeCell ref="V85:W85"/>
    <mergeCell ref="X85:Y85"/>
    <mergeCell ref="Z85:AA85"/>
    <mergeCell ref="B87:C87"/>
    <mergeCell ref="D87:E87"/>
    <mergeCell ref="F87:G87"/>
    <mergeCell ref="H87:I87"/>
    <mergeCell ref="J87:K87"/>
    <mergeCell ref="L87:M87"/>
    <mergeCell ref="N87:O87"/>
    <mergeCell ref="P87:Q87"/>
    <mergeCell ref="R87:S87"/>
    <mergeCell ref="T87:U87"/>
    <mergeCell ref="V87:W87"/>
    <mergeCell ref="X87:Y87"/>
    <mergeCell ref="Z87:AA87"/>
    <mergeCell ref="B85:C85"/>
    <mergeCell ref="D85:E85"/>
    <mergeCell ref="F85:G85"/>
    <mergeCell ref="H85:I85"/>
    <mergeCell ref="J85:K85"/>
    <mergeCell ref="L85:M85"/>
    <mergeCell ref="N85:O85"/>
    <mergeCell ref="P85:Q85"/>
    <mergeCell ref="R85:S85"/>
    <mergeCell ref="T82:U82"/>
    <mergeCell ref="V82:W82"/>
    <mergeCell ref="X82:Y82"/>
    <mergeCell ref="Z82:AA82"/>
    <mergeCell ref="B84:C84"/>
    <mergeCell ref="D84:E84"/>
    <mergeCell ref="F84:G84"/>
    <mergeCell ref="H84:I84"/>
    <mergeCell ref="J84:K84"/>
    <mergeCell ref="L84:M84"/>
    <mergeCell ref="N84:O84"/>
    <mergeCell ref="P84:Q84"/>
    <mergeCell ref="R84:S84"/>
    <mergeCell ref="T84:U84"/>
    <mergeCell ref="V84:W84"/>
    <mergeCell ref="X84:Y84"/>
    <mergeCell ref="Z84:AA84"/>
    <mergeCell ref="B82:C82"/>
    <mergeCell ref="D82:E82"/>
    <mergeCell ref="F82:G82"/>
    <mergeCell ref="H82:I82"/>
    <mergeCell ref="J82:K82"/>
    <mergeCell ref="L82:M82"/>
    <mergeCell ref="N82:O82"/>
    <mergeCell ref="P82:Q82"/>
    <mergeCell ref="R82:S82"/>
    <mergeCell ref="T79:U79"/>
    <mergeCell ref="V79:W79"/>
    <mergeCell ref="X79:Y79"/>
    <mergeCell ref="Z79:AA79"/>
    <mergeCell ref="B81:C81"/>
    <mergeCell ref="D81:E81"/>
    <mergeCell ref="F81:G81"/>
    <mergeCell ref="H81:I81"/>
    <mergeCell ref="J81:K81"/>
    <mergeCell ref="L81:M81"/>
    <mergeCell ref="N81:O81"/>
    <mergeCell ref="P81:Q81"/>
    <mergeCell ref="R81:S81"/>
    <mergeCell ref="T81:U81"/>
    <mergeCell ref="V81:W81"/>
    <mergeCell ref="X81:Y81"/>
    <mergeCell ref="Z81:AA81"/>
    <mergeCell ref="B79:C79"/>
    <mergeCell ref="D79:E79"/>
    <mergeCell ref="F79:G79"/>
    <mergeCell ref="H79:I79"/>
    <mergeCell ref="J79:K79"/>
    <mergeCell ref="L79:M79"/>
    <mergeCell ref="N79:O79"/>
    <mergeCell ref="P79:Q79"/>
    <mergeCell ref="R79:S79"/>
    <mergeCell ref="T76:U76"/>
    <mergeCell ref="V76:W76"/>
    <mergeCell ref="X76:Y76"/>
    <mergeCell ref="Z76:AA76"/>
    <mergeCell ref="B78:C78"/>
    <mergeCell ref="D78:E78"/>
    <mergeCell ref="F78:G78"/>
    <mergeCell ref="H78:I78"/>
    <mergeCell ref="J78:K78"/>
    <mergeCell ref="L78:M78"/>
    <mergeCell ref="N78:O78"/>
    <mergeCell ref="P78:Q78"/>
    <mergeCell ref="R78:S78"/>
    <mergeCell ref="T78:U78"/>
    <mergeCell ref="V78:W78"/>
    <mergeCell ref="X78:Y78"/>
    <mergeCell ref="Z78:AA78"/>
    <mergeCell ref="B76:C76"/>
    <mergeCell ref="D76:E76"/>
    <mergeCell ref="F76:G76"/>
    <mergeCell ref="H76:I76"/>
    <mergeCell ref="J76:K76"/>
    <mergeCell ref="L76:M76"/>
    <mergeCell ref="N76:O76"/>
    <mergeCell ref="P76:Q76"/>
    <mergeCell ref="R76:S76"/>
    <mergeCell ref="T73:U73"/>
    <mergeCell ref="V73:W73"/>
    <mergeCell ref="X73:Y73"/>
    <mergeCell ref="Z73:AA73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X75:Y75"/>
    <mergeCell ref="Z75:AA75"/>
    <mergeCell ref="B73:C73"/>
    <mergeCell ref="D73:E73"/>
    <mergeCell ref="F73:G73"/>
    <mergeCell ref="H73:I73"/>
    <mergeCell ref="J73:K73"/>
    <mergeCell ref="L73:M73"/>
    <mergeCell ref="N73:O73"/>
    <mergeCell ref="P73:Q73"/>
    <mergeCell ref="R73:S73"/>
    <mergeCell ref="T69:U69"/>
    <mergeCell ref="V69:W69"/>
    <mergeCell ref="X69:Y69"/>
    <mergeCell ref="Z69:AA69"/>
    <mergeCell ref="B72:C72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B69:C69"/>
    <mergeCell ref="D69:E69"/>
    <mergeCell ref="F69:G69"/>
    <mergeCell ref="H69:I69"/>
    <mergeCell ref="J69:K69"/>
    <mergeCell ref="L69:M69"/>
    <mergeCell ref="N69:O69"/>
    <mergeCell ref="P69:Q69"/>
    <mergeCell ref="R69:S69"/>
    <mergeCell ref="T70:U70"/>
    <mergeCell ref="V70:W70"/>
    <mergeCell ref="X70:Y70"/>
    <mergeCell ref="Z70:AA70"/>
    <mergeCell ref="B70:C70"/>
    <mergeCell ref="D70:E70"/>
    <mergeCell ref="F70:G70"/>
    <mergeCell ref="H70:I70"/>
    <mergeCell ref="J70:K70"/>
    <mergeCell ref="L70:M70"/>
    <mergeCell ref="N70:O70"/>
    <mergeCell ref="P70:Q70"/>
    <mergeCell ref="R70:S70"/>
    <mergeCell ref="T66:U66"/>
    <mergeCell ref="V66:W66"/>
    <mergeCell ref="X66:Y66"/>
    <mergeCell ref="Z66:AA66"/>
    <mergeCell ref="B67:C67"/>
    <mergeCell ref="D67:E67"/>
    <mergeCell ref="F67:G67"/>
    <mergeCell ref="H67:I67"/>
    <mergeCell ref="J67:K67"/>
    <mergeCell ref="L67:M67"/>
    <mergeCell ref="N67:O67"/>
    <mergeCell ref="P67:Q67"/>
    <mergeCell ref="R67:S67"/>
    <mergeCell ref="T67:U67"/>
    <mergeCell ref="V67:W67"/>
    <mergeCell ref="X67:Y67"/>
    <mergeCell ref="Z67:AA67"/>
    <mergeCell ref="B66:C66"/>
    <mergeCell ref="D66:E66"/>
    <mergeCell ref="F66:G66"/>
    <mergeCell ref="H66:I66"/>
    <mergeCell ref="J66:K66"/>
    <mergeCell ref="L66:M66"/>
    <mergeCell ref="N66:O66"/>
    <mergeCell ref="P66:Q66"/>
    <mergeCell ref="R66:S66"/>
    <mergeCell ref="V63:W63"/>
    <mergeCell ref="X63:Y63"/>
    <mergeCell ref="Z63:AA63"/>
    <mergeCell ref="B64:C64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V64:W64"/>
    <mergeCell ref="X64:Y64"/>
    <mergeCell ref="Z64:AA64"/>
    <mergeCell ref="L63:M63"/>
    <mergeCell ref="N63:O63"/>
    <mergeCell ref="P63:Q63"/>
    <mergeCell ref="R63:S63"/>
    <mergeCell ref="T63:U63"/>
    <mergeCell ref="B63:C63"/>
    <mergeCell ref="D63:E63"/>
    <mergeCell ref="F63:G63"/>
    <mergeCell ref="H63:I63"/>
    <mergeCell ref="J63:K63"/>
    <mergeCell ref="V60:W60"/>
    <mergeCell ref="X60:Y60"/>
    <mergeCell ref="Z60:AA60"/>
    <mergeCell ref="B61:C61"/>
    <mergeCell ref="D61:E61"/>
    <mergeCell ref="F61:G61"/>
    <mergeCell ref="H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L60:M60"/>
    <mergeCell ref="N60:O60"/>
    <mergeCell ref="P60:Q60"/>
    <mergeCell ref="R60:S60"/>
    <mergeCell ref="T60:U60"/>
    <mergeCell ref="B60:C60"/>
    <mergeCell ref="D60:E60"/>
    <mergeCell ref="F60:G60"/>
    <mergeCell ref="H60:I60"/>
    <mergeCell ref="J60:K60"/>
    <mergeCell ref="V57:W57"/>
    <mergeCell ref="X57:Y57"/>
    <mergeCell ref="Z57:AA57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8:AA58"/>
    <mergeCell ref="L57:M57"/>
    <mergeCell ref="N57:O57"/>
    <mergeCell ref="P57:Q57"/>
    <mergeCell ref="R57:S57"/>
    <mergeCell ref="T57:U57"/>
    <mergeCell ref="B57:C57"/>
    <mergeCell ref="D57:E57"/>
    <mergeCell ref="F57:G57"/>
    <mergeCell ref="H57:I57"/>
    <mergeCell ref="J57:K57"/>
    <mergeCell ref="V54:W54"/>
    <mergeCell ref="J54:K54"/>
    <mergeCell ref="X54:Y54"/>
    <mergeCell ref="Z54:AA54"/>
    <mergeCell ref="B55:C55"/>
    <mergeCell ref="D55:E55"/>
    <mergeCell ref="F55:G55"/>
    <mergeCell ref="H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L54:M54"/>
    <mergeCell ref="N54:O54"/>
    <mergeCell ref="P54:Q54"/>
    <mergeCell ref="R54:S54"/>
    <mergeCell ref="T54:U54"/>
    <mergeCell ref="B54:C54"/>
    <mergeCell ref="D54:E54"/>
    <mergeCell ref="F54:G54"/>
    <mergeCell ref="H54:I54"/>
    <mergeCell ref="V51:W51"/>
    <mergeCell ref="J51:K51"/>
    <mergeCell ref="X51:Y51"/>
    <mergeCell ref="Z51:AA51"/>
    <mergeCell ref="B52:C52"/>
    <mergeCell ref="D52:E52"/>
    <mergeCell ref="F52:G52"/>
    <mergeCell ref="H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2:AA52"/>
    <mergeCell ref="L51:M51"/>
    <mergeCell ref="N51:O51"/>
    <mergeCell ref="P51:Q51"/>
    <mergeCell ref="R51:S51"/>
    <mergeCell ref="T51:U51"/>
    <mergeCell ref="B51:C51"/>
    <mergeCell ref="D51:E51"/>
    <mergeCell ref="F51:G51"/>
    <mergeCell ref="H51:I51"/>
    <mergeCell ref="V48:W48"/>
    <mergeCell ref="X48:Y48"/>
    <mergeCell ref="Z48:AA48"/>
    <mergeCell ref="B49:C49"/>
    <mergeCell ref="D49:E49"/>
    <mergeCell ref="F49:G49"/>
    <mergeCell ref="H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L48:M48"/>
    <mergeCell ref="N48:O48"/>
    <mergeCell ref="P48:Q48"/>
    <mergeCell ref="R48:S48"/>
    <mergeCell ref="T48:U48"/>
    <mergeCell ref="B48:C48"/>
    <mergeCell ref="D48:E48"/>
    <mergeCell ref="F48:G48"/>
    <mergeCell ref="H48:I48"/>
    <mergeCell ref="J48:K48"/>
    <mergeCell ref="V45:W45"/>
    <mergeCell ref="X45:Y45"/>
    <mergeCell ref="Z45:AA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6:AA46"/>
    <mergeCell ref="L45:M45"/>
    <mergeCell ref="N45:O45"/>
    <mergeCell ref="P45:Q45"/>
    <mergeCell ref="R45:S45"/>
    <mergeCell ref="T45:U45"/>
    <mergeCell ref="B45:C45"/>
    <mergeCell ref="D45:E45"/>
    <mergeCell ref="F45:G45"/>
    <mergeCell ref="H45:I45"/>
    <mergeCell ref="J45:K45"/>
    <mergeCell ref="Z42:AA42"/>
    <mergeCell ref="B43:C43"/>
    <mergeCell ref="D43:E43"/>
    <mergeCell ref="F43:G43"/>
    <mergeCell ref="H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P42:Q42"/>
    <mergeCell ref="R42:S42"/>
    <mergeCell ref="T42:U42"/>
    <mergeCell ref="V42:W42"/>
    <mergeCell ref="X42:Y42"/>
    <mergeCell ref="F42:G42"/>
    <mergeCell ref="R40:S40"/>
    <mergeCell ref="T40:U40"/>
    <mergeCell ref="V40:W40"/>
    <mergeCell ref="X40:Y40"/>
    <mergeCell ref="Z40:AA40"/>
    <mergeCell ref="H40:I40"/>
    <mergeCell ref="J40:K40"/>
    <mergeCell ref="L40:M40"/>
    <mergeCell ref="N40:O40"/>
    <mergeCell ref="P40:Q40"/>
    <mergeCell ref="J42:K42"/>
    <mergeCell ref="L42:M42"/>
    <mergeCell ref="N42:O42"/>
    <mergeCell ref="R39:S39"/>
    <mergeCell ref="T39:U39"/>
    <mergeCell ref="V39:W39"/>
    <mergeCell ref="X39:Y39"/>
    <mergeCell ref="Z39:AA39"/>
    <mergeCell ref="H39:I39"/>
    <mergeCell ref="J39:K39"/>
    <mergeCell ref="L39:M39"/>
    <mergeCell ref="N39:O39"/>
    <mergeCell ref="P39:Q39"/>
    <mergeCell ref="Z25:AA26"/>
    <mergeCell ref="R34:S35"/>
    <mergeCell ref="T34:U35"/>
    <mergeCell ref="V34:W35"/>
    <mergeCell ref="X34:Y35"/>
    <mergeCell ref="Z34:AA35"/>
    <mergeCell ref="B25:C26"/>
    <mergeCell ref="D25:E26"/>
    <mergeCell ref="F25:G26"/>
    <mergeCell ref="H25:I26"/>
    <mergeCell ref="J25:K26"/>
    <mergeCell ref="P34:Q35"/>
    <mergeCell ref="B39:C39"/>
    <mergeCell ref="B40:C40"/>
    <mergeCell ref="D39:E39"/>
    <mergeCell ref="F39:G39"/>
    <mergeCell ref="D40:E40"/>
    <mergeCell ref="F40:G40"/>
    <mergeCell ref="B42:C42"/>
    <mergeCell ref="D42:E42"/>
    <mergeCell ref="H42:I42"/>
    <mergeCell ref="X16:Y17"/>
    <mergeCell ref="R25:S26"/>
    <mergeCell ref="T25:U26"/>
    <mergeCell ref="V25:W26"/>
    <mergeCell ref="X25:Y26"/>
    <mergeCell ref="L25:M26"/>
    <mergeCell ref="N25:O26"/>
    <mergeCell ref="P25:Q26"/>
    <mergeCell ref="N16:O17"/>
    <mergeCell ref="P16:Q17"/>
    <mergeCell ref="X7:Y8"/>
    <mergeCell ref="Z7:AA8"/>
    <mergeCell ref="A16:A17"/>
    <mergeCell ref="B16:C17"/>
    <mergeCell ref="D16:E17"/>
    <mergeCell ref="F16:G17"/>
    <mergeCell ref="H16:I17"/>
    <mergeCell ref="J16:K17"/>
    <mergeCell ref="L16:M17"/>
    <mergeCell ref="J7:K8"/>
    <mergeCell ref="L7:M8"/>
    <mergeCell ref="N7:O8"/>
    <mergeCell ref="P7:Q8"/>
    <mergeCell ref="R7:S8"/>
    <mergeCell ref="T7:U8"/>
    <mergeCell ref="Z16:AA17"/>
    <mergeCell ref="B7:C8"/>
    <mergeCell ref="D7:E8"/>
    <mergeCell ref="F7:G8"/>
    <mergeCell ref="H7:I8"/>
    <mergeCell ref="V7:W8"/>
    <mergeCell ref="R16:S17"/>
    <mergeCell ref="T16:U17"/>
    <mergeCell ref="V16:W17"/>
    <mergeCell ref="P90:Q90"/>
    <mergeCell ref="R90:S90"/>
    <mergeCell ref="A32:A33"/>
    <mergeCell ref="A1:A2"/>
    <mergeCell ref="A3:A4"/>
    <mergeCell ref="A5:A6"/>
    <mergeCell ref="A10:A11"/>
    <mergeCell ref="A12:A13"/>
    <mergeCell ref="A14:A15"/>
    <mergeCell ref="A19:A20"/>
    <mergeCell ref="A21:A22"/>
    <mergeCell ref="A23:A24"/>
    <mergeCell ref="A28:A29"/>
    <mergeCell ref="A30:A31"/>
    <mergeCell ref="A7:A8"/>
    <mergeCell ref="A25:A26"/>
    <mergeCell ref="A34:A35"/>
    <mergeCell ref="B34:C35"/>
    <mergeCell ref="D34:E35"/>
    <mergeCell ref="F34:G35"/>
    <mergeCell ref="H34:I35"/>
    <mergeCell ref="J34:K35"/>
    <mergeCell ref="L34:M35"/>
    <mergeCell ref="N34:O35"/>
    <mergeCell ref="T90:U90"/>
    <mergeCell ref="V90:W90"/>
    <mergeCell ref="X90:Y90"/>
    <mergeCell ref="Z90:AA90"/>
    <mergeCell ref="B91:C91"/>
    <mergeCell ref="D91:E91"/>
    <mergeCell ref="F91:G91"/>
    <mergeCell ref="H91:I91"/>
    <mergeCell ref="J91:K91"/>
    <mergeCell ref="L91:M91"/>
    <mergeCell ref="N91:O91"/>
    <mergeCell ref="P91:Q91"/>
    <mergeCell ref="R91:S91"/>
    <mergeCell ref="T91:U91"/>
    <mergeCell ref="V91:W91"/>
    <mergeCell ref="X91:Y91"/>
    <mergeCell ref="Z91:AA91"/>
    <mergeCell ref="B90:C90"/>
    <mergeCell ref="D90:E90"/>
    <mergeCell ref="F90:G90"/>
    <mergeCell ref="H90:I90"/>
    <mergeCell ref="J90:K90"/>
    <mergeCell ref="L90:M90"/>
    <mergeCell ref="N90:O90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A205"/>
  <sheetViews>
    <sheetView topLeftCell="A14" workbookViewId="0">
      <selection sqref="A1:A41"/>
    </sheetView>
  </sheetViews>
  <sheetFormatPr baseColWidth="10" defaultRowHeight="15" x14ac:dyDescent="0.25"/>
  <cols>
    <col min="1" max="1" width="170.140625" customWidth="1"/>
  </cols>
  <sheetData>
    <row r="1" spans="1:1" x14ac:dyDescent="0.25">
      <c r="A1" t="str">
        <f>'Layout 1'!P36</f>
        <v>/*Keymap 0: Basic layer</v>
      </c>
    </row>
    <row r="2" spans="1:1" x14ac:dyDescent="0.25">
      <c r="A2" t="str">
        <f>'Layout 1'!P37</f>
        <v>*</v>
      </c>
    </row>
    <row r="3" spans="1:1" x14ac:dyDescent="0.25">
      <c r="A3" t="str">
        <f>'Layout 1'!P38</f>
        <v>* ,--------------------------------------------------.           ,--------------------------------------------------.</v>
      </c>
    </row>
    <row r="4" spans="1:1" x14ac:dyDescent="0.25">
      <c r="A4" t="str">
        <f>'Layout 1'!P39</f>
        <v>* |   $    |  "   |  «   |  »   |  (   |  )   |  =   |           | Del  |  @   |  +   |  -   |  /   |  *   |   %    |</v>
      </c>
    </row>
    <row r="5" spans="1:1" x14ac:dyDescent="0.25">
      <c r="A5" t="str">
        <f>'Layout 1'!P40</f>
        <v>* |--------+------+------+------+------+------+------|           |------+------+------+------+------+------+--------|</v>
      </c>
    </row>
    <row r="6" spans="1:1" x14ac:dyDescent="0.25">
      <c r="A6" t="str">
        <f>'Layout 1'!P41</f>
        <v>* |   ê    |  b   |  é   |  p   |  o   |  è   | Tab  |           |Backsp|  ^   |  v   |  d   |  l   |  j   |   z    |</v>
      </c>
    </row>
    <row r="7" spans="1:1" x14ac:dyDescent="0.25">
      <c r="A7" t="str">
        <f>'Layout 1'!P42</f>
        <v>* |--------+------+------+------+------+------|      |           |      |------+------+------+------+------+--------|</v>
      </c>
    </row>
    <row r="8" spans="1:1" x14ac:dyDescent="0.25">
      <c r="A8" t="str">
        <f>'Layout 1'!P43</f>
        <v>* |   w    |  a   |  u   |  i   |  e   |  ,   |------|           |------|  c   |  t   |  s   |  r   |  n   |   m    |</v>
      </c>
    </row>
    <row r="9" spans="1:1" x14ac:dyDescent="0.25">
      <c r="A9" t="str">
        <f>'Layout 1'!P44</f>
        <v>* |--------+------+------+------+------+------|      |           |      |------+------+------+------+------+--------|</v>
      </c>
    </row>
    <row r="10" spans="1:1" x14ac:dyDescent="0.25">
      <c r="A10" t="str">
        <f>'Layout 1'!P45</f>
        <v>* | ShiftG |  à   |  y   |  x   |  .   |  k   |Enter |           |Enter |  '   |  q   |  g   |  h   |  f   |   ç    |</v>
      </c>
    </row>
    <row r="11" spans="1:1" x14ac:dyDescent="0.25">
      <c r="A11" t="str">
        <f>'Layout 1'!P46</f>
        <v>* `--------+------+------+------+------+-------------'           `-------------+------+------+------+------+--------'</v>
      </c>
    </row>
    <row r="12" spans="1:1" x14ac:dyDescent="0.25">
      <c r="A12" t="str">
        <f>'Layout 1'!P47</f>
        <v>*   |CtrlG | Alt  | GUIL |Alt Gr|ShiftG|                                       | Fn2  |Alt Gr| GUID | Alt  |CtrlD   |</v>
      </c>
    </row>
    <row r="13" spans="1:1" x14ac:dyDescent="0.25">
      <c r="A13" t="str">
        <f>'Layout 1'!P48</f>
        <v>*   `----------------------------------'                                       `----------------------------------'</v>
      </c>
    </row>
    <row r="14" spans="1:1" x14ac:dyDescent="0.25">
      <c r="A14" t="str">
        <f>'Layout 1'!P49</f>
        <v>*                                        ,-------------.       ,-------------.</v>
      </c>
    </row>
    <row r="15" spans="1:1" x14ac:dyDescent="0.25">
      <c r="A15" t="str">
        <f>'Layout 1'!P50</f>
        <v xml:space="preserve">*                                        | Fn3  | Esc  |       |Caps L| Fn3  |       </v>
      </c>
    </row>
    <row r="16" spans="1:1" x14ac:dyDescent="0.25">
      <c r="A16" t="str">
        <f>'Layout 1'!P51</f>
        <v>*                                 ,------|------|------|       |------+------+------.</v>
      </c>
    </row>
    <row r="17" spans="1:1" x14ac:dyDescent="0.25">
      <c r="A17" t="str">
        <f>'Layout 1'!P52</f>
        <v>*                                 |      |      | Alt  |       | Alt  |      |      |</v>
      </c>
    </row>
    <row r="18" spans="1:1" x14ac:dyDescent="0.25">
      <c r="A18" t="str">
        <f>'Layout 1'!P53</f>
        <v>*                                 |      |      |------|       |------|      |      |</v>
      </c>
    </row>
    <row r="19" spans="1:1" x14ac:dyDescent="0.25">
      <c r="A19" t="str">
        <f>'Layout 1'!P54</f>
        <v>*                                 |Space |Enter | Del  |       |Backsp|ShiftD|Space |</v>
      </c>
    </row>
    <row r="20" spans="1:1" x14ac:dyDescent="0.25">
      <c r="A20" t="str">
        <f>'Layout 1'!P55</f>
        <v>*                                 `--------------------'       `--------------------'</v>
      </c>
    </row>
    <row r="21" spans="1:1" x14ac:dyDescent="0.25">
      <c r="A21" t="str">
        <f>'Layout 1'!P56</f>
        <v>*/</v>
      </c>
    </row>
    <row r="22" spans="1:1" x14ac:dyDescent="0.25">
      <c r="A22" t="str">
        <f>'Layout 1'!P57</f>
        <v>[BASE] = LAYOUT_ergodox(</v>
      </c>
    </row>
    <row r="23" spans="1:1" x14ac:dyDescent="0.25">
      <c r="A23" t="str">
        <f>'Layout 1'!P58</f>
        <v>//Left hand</v>
      </c>
    </row>
    <row r="24" spans="1:1" x14ac:dyDescent="0.25">
      <c r="A24" t="str">
        <f>'Layout 1'!P59</f>
        <v xml:space="preserve">        BP_DLR         ,BP_DQOT        ,BP_LGIL        ,BP_RGIL        ,KC_TRNS        ,BP_RPRN        ,BP_EQL         ,</v>
      </c>
    </row>
    <row r="25" spans="1:1" x14ac:dyDescent="0.25">
      <c r="A25" t="str">
        <f>'Layout 1'!P60</f>
        <v xml:space="preserve">        BP_ECRC        ,BP_B           ,BP_ECUT        ,BP_P           ,BP_O           ,BP_EGRV        ,KC_TAB         ,</v>
      </c>
    </row>
    <row r="26" spans="1:1" x14ac:dyDescent="0.25">
      <c r="A26" t="str">
        <f>'Layout 1'!P61</f>
        <v xml:space="preserve">        BP_W           ,BP_A           ,BP_U           ,BP_I           ,BP_E           ,BP_COMM        ,                </v>
      </c>
    </row>
    <row r="27" spans="1:1" x14ac:dyDescent="0.25">
      <c r="A27" t="str">
        <f>'Layout 1'!P62</f>
        <v xml:space="preserve">        KC_LSFT        ,BP_AGRV        ,BP_Y           ,BP_X           ,BP_DOT         ,BP_K           ,KC_ENT         ,</v>
      </c>
    </row>
    <row r="28" spans="1:1" x14ac:dyDescent="0.25">
      <c r="A28" t="str">
        <f>'Layout 1'!P63</f>
        <v xml:space="preserve">        KC_LCTL        ,KC_LALT        ,KC_LGUI        ,KC_ALGR        ,KC_LSFT        ,                                </v>
      </c>
    </row>
    <row r="29" spans="1:1" x14ac:dyDescent="0.25">
      <c r="A29" t="str">
        <f>'Layout 1'!P64</f>
        <v xml:space="preserve">                                                                                        KC_FN3         ,KC_ESC         ,</v>
      </c>
    </row>
    <row r="30" spans="1:1" x14ac:dyDescent="0.25">
      <c r="A30" t="str">
        <f>'Layout 1'!P65</f>
        <v xml:space="preserve">                                                                                                        KC_LALT        ,</v>
      </c>
    </row>
    <row r="31" spans="1:1" x14ac:dyDescent="0.25">
      <c r="A31" t="str">
        <f>'Layout 1'!P66</f>
        <v xml:space="preserve">                                                                        KC_SPC         ,KC_ENT         ,KC_DELT        ,</v>
      </c>
    </row>
    <row r="32" spans="1:1" x14ac:dyDescent="0.25">
      <c r="A32" t="str">
        <f>'Layout 1'!P67</f>
        <v>//Right hand</v>
      </c>
    </row>
    <row r="33" spans="1:1" x14ac:dyDescent="0.25">
      <c r="A33" t="str">
        <f>'Layout 1'!P68</f>
        <v xml:space="preserve">        KC_DELT        ,BP_AT          ,BP_PLUS        ,BP_MINS        ,BP_SLSH        ,BP_ASTR        ,BP_PERC        ,</v>
      </c>
    </row>
    <row r="34" spans="1:1" x14ac:dyDescent="0.25">
      <c r="A34" t="str">
        <f>'Layout 1'!P69</f>
        <v xml:space="preserve">        KC_BSPC        ,BP_DCRC        ,BP_V           ,BP_D           ,BP_L           ,BP_J           ,BP_Z           ,</v>
      </c>
    </row>
    <row r="35" spans="1:1" x14ac:dyDescent="0.25">
      <c r="A35" t="str">
        <f>'Layout 1'!P70</f>
        <v xml:space="preserve">                        BP_C           ,BP_T           ,BP_S           ,BP_R           ,BP_N           ,BP_M           ,</v>
      </c>
    </row>
    <row r="36" spans="1:1" x14ac:dyDescent="0.25">
      <c r="A36" t="str">
        <f>'Layout 1'!P71</f>
        <v xml:space="preserve">        KC_ENT         ,BP_APOS        ,BP_Q           ,BP_G           ,BP_H           ,BP_F           ,BP_CCED        ,</v>
      </c>
    </row>
    <row r="37" spans="1:1" x14ac:dyDescent="0.25">
      <c r="A37" t="str">
        <f>'Layout 1'!P72</f>
        <v xml:space="preserve">                                        KC_FN2         ,KC_ALGR        ,KC_RGUI        ,KC_LALT        ,KC_RCTL        ,</v>
      </c>
    </row>
    <row r="38" spans="1:1" x14ac:dyDescent="0.25">
      <c r="A38" t="str">
        <f>'Layout 1'!P73</f>
        <v xml:space="preserve">        KC_CAPS        ,KC_FN3         ,                                                                                </v>
      </c>
    </row>
    <row r="39" spans="1:1" x14ac:dyDescent="0.25">
      <c r="A39" t="str">
        <f>'Layout 1'!P74</f>
        <v xml:space="preserve">        KC_LALT        ,                                                                                                </v>
      </c>
    </row>
    <row r="40" spans="1:1" x14ac:dyDescent="0.25">
      <c r="A40" t="str">
        <f>'Layout 1'!P75</f>
        <v xml:space="preserve">        KC_BSPC        ,KC_RSFT        ,KC_SPC                                                                         </v>
      </c>
    </row>
    <row r="41" spans="1:1" x14ac:dyDescent="0.25">
      <c r="A41" t="str">
        <f>'Layout 1'!P76</f>
        <v xml:space="preserve">    ),</v>
      </c>
    </row>
    <row r="42" spans="1:1" x14ac:dyDescent="0.25">
      <c r="A42" t="str">
        <f>'Layout 2'!P36</f>
        <v>/*Keymap 1: Numéric layer</v>
      </c>
    </row>
    <row r="43" spans="1:1" x14ac:dyDescent="0.25">
      <c r="A43" t="str">
        <f>'Layout 2'!P37</f>
        <v>*</v>
      </c>
    </row>
    <row r="44" spans="1:1" x14ac:dyDescent="0.25">
      <c r="A44" t="str">
        <f>'Layout 2'!P38</f>
        <v>* ,--------------------------------------------------.           ,--------------------------------------------------.</v>
      </c>
    </row>
    <row r="45" spans="1:1" x14ac:dyDescent="0.25">
      <c r="A45" t="str">
        <f>'Layout 2'!P39</f>
        <v>* |        |      |      |      |      |      |      |           | Del  |      |  +   |  -   |  /   |  *   |   %    |</v>
      </c>
    </row>
    <row r="46" spans="1:1" x14ac:dyDescent="0.25">
      <c r="A46" t="str">
        <f>'Layout 2'!P40</f>
        <v>* |--------+------+------+------+------+------+------|           |------+------+------+------+------+------+--------|</v>
      </c>
    </row>
    <row r="47" spans="1:1" x14ac:dyDescent="0.25">
      <c r="A47" t="str">
        <f>'Layout 2'!P41</f>
        <v>* |        |      |  9   |  8   |  7   |      |  +   |           |  /   |      |  7   |  8   |  9   |      |        |</v>
      </c>
    </row>
    <row r="48" spans="1:1" x14ac:dyDescent="0.25">
      <c r="A48" t="str">
        <f>'Layout 2'!P42</f>
        <v>* |--------+------+------+------+------+------|      |           |      |------+------+------+------+------+--------|</v>
      </c>
    </row>
    <row r="49" spans="1:1" x14ac:dyDescent="0.25">
      <c r="A49" t="str">
        <f>'Layout 2'!P43</f>
        <v>* |        |      |  6   |  5   |  4   | Cut  |------|           |------| Copy |  4   |  5   |  6   |      |        |</v>
      </c>
    </row>
    <row r="50" spans="1:1" x14ac:dyDescent="0.25">
      <c r="A50" t="str">
        <f>'Layout 2'!P44</f>
        <v>* |--------+------+------+------+------+------|      |           |      |------+------+------+------+------+--------|</v>
      </c>
    </row>
    <row r="51" spans="1:1" x14ac:dyDescent="0.25">
      <c r="A51" t="str">
        <f>'Layout 2'!P45</f>
        <v>* |        |      |  3   |  2   |  1   |      |  -   |           |  *   |      |  1   |  2   |  3   |      |        |</v>
      </c>
    </row>
    <row r="52" spans="1:1" x14ac:dyDescent="0.25">
      <c r="A52" t="str">
        <f>'Layout 2'!P46</f>
        <v>* `--------+------+------+------+------+-------------'           `-------------+------+------+------+------+--------'</v>
      </c>
    </row>
    <row r="53" spans="1:1" x14ac:dyDescent="0.25">
      <c r="A53" t="str">
        <f>'Layout 2'!P47</f>
        <v>*   | Calc |      |  .   |  0   |  ,   |                                       |  ,   |  0   |  .   |      |        |</v>
      </c>
    </row>
    <row r="54" spans="1:1" x14ac:dyDescent="0.25">
      <c r="A54" t="str">
        <f>'Layout 2'!P48</f>
        <v>*   `----------------------------------'                                       `----------------------------------'</v>
      </c>
    </row>
    <row r="55" spans="1:1" x14ac:dyDescent="0.25">
      <c r="A55" t="str">
        <f>'Layout 2'!P49</f>
        <v>*                                        ,-------------.       ,-------------.</v>
      </c>
    </row>
    <row r="56" spans="1:1" x14ac:dyDescent="0.25">
      <c r="A56" t="str">
        <f>'Layout 2'!P50</f>
        <v xml:space="preserve">*                                        | Fn3  | Esc  |       |Caps L| Fn3  |       </v>
      </c>
    </row>
    <row r="57" spans="1:1" x14ac:dyDescent="0.25">
      <c r="A57" t="str">
        <f>'Layout 2'!P51</f>
        <v>*                                 ,------|------|------|       |------+------+------.</v>
      </c>
    </row>
    <row r="58" spans="1:1" x14ac:dyDescent="0.25">
      <c r="A58" t="str">
        <f>'Layout 2'!P52</f>
        <v>*                                 |      |      |      |       |      |      |      |</v>
      </c>
    </row>
    <row r="59" spans="1:1" x14ac:dyDescent="0.25">
      <c r="A59" t="str">
        <f>'Layout 2'!P53</f>
        <v>*                                 |      |      |------|       |------|      |      |</v>
      </c>
    </row>
    <row r="60" spans="1:1" x14ac:dyDescent="0.25">
      <c r="A60" t="str">
        <f>'Layout 2'!P54</f>
        <v>*                                 |  0   |      |  1   |       |  1   |Paste |  0   |</v>
      </c>
    </row>
    <row r="61" spans="1:1" x14ac:dyDescent="0.25">
      <c r="A61" t="str">
        <f>'Layout 2'!P55</f>
        <v>*                                 `--------------------'       `--------------------'</v>
      </c>
    </row>
    <row r="62" spans="1:1" x14ac:dyDescent="0.25">
      <c r="A62" t="str">
        <f>'Layout 2'!P56</f>
        <v>*/</v>
      </c>
    </row>
    <row r="63" spans="1:1" x14ac:dyDescent="0.25">
      <c r="A63" t="str">
        <f>'Layout 2'!P57</f>
        <v>[NUM] = LAYOUT_ergodox(</v>
      </c>
    </row>
    <row r="64" spans="1:1" x14ac:dyDescent="0.25">
      <c r="A64" t="str">
        <f>'Layout 2'!P58</f>
        <v>//Left hand</v>
      </c>
    </row>
    <row r="65" spans="1:1" x14ac:dyDescent="0.25">
      <c r="A65" t="str">
        <f>'Layout 2'!P59</f>
        <v xml:space="preserve">        KC_TRNS        ,KC_TRNS        ,KC_TRNS        ,KC_TRNS        ,KC_TRNS        ,KC_TRNS        ,KC_TRNS        ,</v>
      </c>
    </row>
    <row r="66" spans="1:1" x14ac:dyDescent="0.25">
      <c r="A66" t="str">
        <f>'Layout 2'!P60</f>
        <v xml:space="preserve">        KC_TRNS        ,KC_TRNS        ,BP_9           ,BP_8           ,BP_7           ,KC_TRNS        ,BP_PLUS        ,</v>
      </c>
    </row>
    <row r="67" spans="1:1" x14ac:dyDescent="0.25">
      <c r="A67" t="str">
        <f>'Layout 2'!P61</f>
        <v xml:space="preserve">        KC_TRNS        ,KC_TRNS        ,BP_6           ,BP_5           ,BP_4           ,KC_CUT         ,                </v>
      </c>
    </row>
    <row r="68" spans="1:1" x14ac:dyDescent="0.25">
      <c r="A68" t="str">
        <f>'Layout 2'!P62</f>
        <v xml:space="preserve">        KC_TRNS        ,KC_TRNS        ,BP_3           ,BP_2           ,BP_1           ,KC_TRNS        ,BP_MINS        ,</v>
      </c>
    </row>
    <row r="69" spans="1:1" x14ac:dyDescent="0.25">
      <c r="A69" t="str">
        <f>'Layout 2'!P63</f>
        <v xml:space="preserve">        KC_CALC        ,KC_TRNS        ,BP_DOT         ,BP_0           ,BP_COMM        ,                                </v>
      </c>
    </row>
    <row r="70" spans="1:1" x14ac:dyDescent="0.25">
      <c r="A70" t="str">
        <f>'Layout 2'!P64</f>
        <v xml:space="preserve">                                                                                        KC_FN3         ,KC_ESC         ,</v>
      </c>
    </row>
    <row r="71" spans="1:1" x14ac:dyDescent="0.25">
      <c r="A71" t="str">
        <f>'Layout 2'!P65</f>
        <v xml:space="preserve">                                                                                                        KC_TRNS        ,</v>
      </c>
    </row>
    <row r="72" spans="1:1" x14ac:dyDescent="0.25">
      <c r="A72" t="str">
        <f>'Layout 2'!P66</f>
        <v xml:space="preserve">                                                                        BP_0           ,KC_TRNS        ,BP_1           ,</v>
      </c>
    </row>
    <row r="73" spans="1:1" x14ac:dyDescent="0.25">
      <c r="A73" t="str">
        <f>'Layout 2'!P67</f>
        <v>//Right hand</v>
      </c>
    </row>
    <row r="74" spans="1:1" x14ac:dyDescent="0.25">
      <c r="A74" t="str">
        <f>'Layout 2'!P68</f>
        <v xml:space="preserve">        KC_DELT        ,KC_TRNS        ,BP_PLUS        ,BP_MINS        ,BP_SLSH        ,BP_ASTR        ,BP_PERC        ,</v>
      </c>
    </row>
    <row r="75" spans="1:1" x14ac:dyDescent="0.25">
      <c r="A75" t="str">
        <f>'Layout 2'!P69</f>
        <v xml:space="preserve">        BP_SLSH        ,KC_TRNS        ,BP_7           ,BP_8           ,BP_9           ,KC_TRNS        ,KC_TRNS        ,</v>
      </c>
    </row>
    <row r="76" spans="1:1" x14ac:dyDescent="0.25">
      <c r="A76" t="str">
        <f>'Layout 2'!P70</f>
        <v xml:space="preserve">                        KC_COPY        ,BP_4           ,BP_5           ,BP_6           ,KC_TRNS        ,KC_TRNS        ,</v>
      </c>
    </row>
    <row r="77" spans="1:1" x14ac:dyDescent="0.25">
      <c r="A77" t="str">
        <f>'Layout 2'!P71</f>
        <v xml:space="preserve">        BP_ASTR        ,KC_TRNS        ,BP_1           ,BP_2           ,BP_3           ,KC_TRNS        ,KC_TRNS        ,</v>
      </c>
    </row>
    <row r="78" spans="1:1" x14ac:dyDescent="0.25">
      <c r="A78" t="str">
        <f>'Layout 2'!P72</f>
        <v xml:space="preserve">                                        BP_COMM        ,BP_0           ,BP_DOT         ,KC_TRNS        ,KC_TRNS        ,</v>
      </c>
    </row>
    <row r="79" spans="1:1" x14ac:dyDescent="0.25">
      <c r="A79" t="str">
        <f>'Layout 2'!P73</f>
        <v xml:space="preserve">        KC_CAPS        ,KC_FN3         ,                                                                                </v>
      </c>
    </row>
    <row r="80" spans="1:1" x14ac:dyDescent="0.25">
      <c r="A80" t="str">
        <f>'Layout 2'!P74</f>
        <v xml:space="preserve">        KC_TRNS        ,                                                                                                </v>
      </c>
    </row>
    <row r="81" spans="1:1" x14ac:dyDescent="0.25">
      <c r="A81" t="str">
        <f>'Layout 2'!P75</f>
        <v xml:space="preserve">        BP_1           ,KC_PASTE       ,BP_0                                                                           </v>
      </c>
    </row>
    <row r="82" spans="1:1" x14ac:dyDescent="0.25">
      <c r="A82" t="str">
        <f>'Layout 2'!P76</f>
        <v xml:space="preserve">    ),</v>
      </c>
    </row>
    <row r="83" spans="1:1" x14ac:dyDescent="0.25">
      <c r="A83" t="str">
        <f>'Layout 3'!P36</f>
        <v>/*Keymap 2: Arrowlayer - F1-F12</v>
      </c>
    </row>
    <row r="84" spans="1:1" x14ac:dyDescent="0.25">
      <c r="A84" t="str">
        <f>'Layout 3'!P37</f>
        <v>*</v>
      </c>
    </row>
    <row r="85" spans="1:1" x14ac:dyDescent="0.25">
      <c r="A85" t="str">
        <f>'Layout 3'!P38</f>
        <v>* ,--------------------------------------------------.           ,--------------------------------------------------.</v>
      </c>
    </row>
    <row r="86" spans="1:1" x14ac:dyDescent="0.25">
      <c r="A86" t="str">
        <f>'Layout 3'!P39</f>
        <v>* |        |  F1  |  F2  |  F3  |  F4  |  F5  |  F6  |           |  F7  |  F8  |  F9  | F10  | F11  | F12  |        |</v>
      </c>
    </row>
    <row r="87" spans="1:1" x14ac:dyDescent="0.25">
      <c r="A87" t="str">
        <f>'Layout 3'!P40</f>
        <v>* |--------+------+------+------+------+------+------|           |------+------+------+------+------+------+--------|</v>
      </c>
    </row>
    <row r="88" spans="1:1" x14ac:dyDescent="0.25">
      <c r="A88" t="str">
        <f>'Layout 3'!P41</f>
        <v>* |        |      |Debut |  Up  | Fin  |      |Inser |           |Page S|      |Debut |  Up  | Fin  |      |        |</v>
      </c>
    </row>
    <row r="89" spans="1:1" x14ac:dyDescent="0.25">
      <c r="A89" t="str">
        <f>'Layout 3'!P42</f>
        <v>* |--------+------+------+------+------+------|      |           |      |------+------+------+------+------+--------|</v>
      </c>
    </row>
    <row r="90" spans="1:1" x14ac:dyDescent="0.25">
      <c r="A90" t="str">
        <f>'Layout 3'!P43</f>
        <v>* |        |      | Left | Down |Right |      |------|           |------|      | Left | Down |Right |      |        |</v>
      </c>
    </row>
    <row r="91" spans="1:1" x14ac:dyDescent="0.25">
      <c r="A91" t="str">
        <f>'Layout 3'!P44</f>
        <v>* |--------+------+------+------+------+------|      |           |      |------+------+------+------+------+--------|</v>
      </c>
    </row>
    <row r="92" spans="1:1" x14ac:dyDescent="0.25">
      <c r="A92" t="str">
        <f>'Layout 3'!P45</f>
        <v>* |        |      |Page P|      |Page S|      |Inser |           |Page P|      |Page P|      |Page S|      |        |</v>
      </c>
    </row>
    <row r="93" spans="1:1" x14ac:dyDescent="0.25">
      <c r="A93" t="str">
        <f>'Layout 3'!P46</f>
        <v>* `--------+------+------+------+------+-------------'           `-------------+------+------+------+------+--------'</v>
      </c>
    </row>
    <row r="94" spans="1:1" x14ac:dyDescent="0.25">
      <c r="A94" t="str">
        <f>'Layout 3'!P47</f>
        <v>*   |CtrlG | Alt  | GUIL |Alt Gr|ShiftG|                                       |      |Alt Gr| GUID | Alt  |CtrlD   |</v>
      </c>
    </row>
    <row r="95" spans="1:1" x14ac:dyDescent="0.25">
      <c r="A95" t="str">
        <f>'Layout 3'!P48</f>
        <v>*   `----------------------------------'                                       `----------------------------------'</v>
      </c>
    </row>
    <row r="96" spans="1:1" x14ac:dyDescent="0.25">
      <c r="A96" t="str">
        <f>'Layout 3'!P49</f>
        <v>*                                        ,-------------.       ,-------------.</v>
      </c>
    </row>
    <row r="97" spans="1:1" x14ac:dyDescent="0.25">
      <c r="A97" t="str">
        <f>'Layout 3'!P50</f>
        <v xml:space="preserve">*                                        | Fn3  | Esc  |       |      | Fn3  |       </v>
      </c>
    </row>
    <row r="98" spans="1:1" x14ac:dyDescent="0.25">
      <c r="A98" t="str">
        <f>'Layout 3'!P51</f>
        <v>*                                 ,------|------|------|       |------+------+------.</v>
      </c>
    </row>
    <row r="99" spans="1:1" x14ac:dyDescent="0.25">
      <c r="A99" t="str">
        <f>'Layout 3'!P52</f>
        <v>*                                 |      |      |      |       |      |      |      |</v>
      </c>
    </row>
    <row r="100" spans="1:1" x14ac:dyDescent="0.25">
      <c r="A100" t="str">
        <f>'Layout 3'!P53</f>
        <v>*                                 |      |      |------|       |------|      |      |</v>
      </c>
    </row>
    <row r="101" spans="1:1" x14ac:dyDescent="0.25">
      <c r="A101" t="str">
        <f>'Layout 3'!P54</f>
        <v>*                                 |Deroul| Fn1  |      |       | Fn1  |ShiftD|Deroul|</v>
      </c>
    </row>
    <row r="102" spans="1:1" x14ac:dyDescent="0.25">
      <c r="A102" t="str">
        <f>'Layout 3'!P55</f>
        <v>*                                 `--------------------'       `--------------------'</v>
      </c>
    </row>
    <row r="103" spans="1:1" x14ac:dyDescent="0.25">
      <c r="A103" t="str">
        <f>'Layout 3'!P56</f>
        <v>*/</v>
      </c>
    </row>
    <row r="104" spans="1:1" x14ac:dyDescent="0.25">
      <c r="A104" t="str">
        <f>'Layout 3'!P57</f>
        <v>[ARW] = LAYOUT_ergodox(</v>
      </c>
    </row>
    <row r="105" spans="1:1" x14ac:dyDescent="0.25">
      <c r="A105" t="str">
        <f>'Layout 3'!P58</f>
        <v>//Left hand</v>
      </c>
    </row>
    <row r="106" spans="1:1" x14ac:dyDescent="0.25">
      <c r="A106" t="str">
        <f>'Layout 3'!P59</f>
        <v xml:space="preserve">        KC_TRNS        ,KC_F1          ,KC_F2          ,KC_F3          ,KC_F4          ,KC_F5          ,KC_F6          ,</v>
      </c>
    </row>
    <row r="107" spans="1:1" x14ac:dyDescent="0.25">
      <c r="A107" t="str">
        <f>'Layout 3'!P60</f>
        <v xml:space="preserve">        KC_TRNS        ,KC_TRNS        ,KC_HOME        ,KC_UP          ,KC_END         ,KC_TRNS        ,KC_INS         ,</v>
      </c>
    </row>
    <row r="108" spans="1:1" x14ac:dyDescent="0.25">
      <c r="A108" t="str">
        <f>'Layout 3'!P61</f>
        <v xml:space="preserve">        KC_TRNS        ,KC_TRNS        ,KC_LEFT        ,KC_DOWN        ,KC_RGHT        ,KC_TRNS        ,                </v>
      </c>
    </row>
    <row r="109" spans="1:1" x14ac:dyDescent="0.25">
      <c r="A109" t="str">
        <f>'Layout 3'!P62</f>
        <v xml:space="preserve">        KC_TRNS        ,KC_TRNS        ,KC_PGUP        ,KC_TRNS        ,KC_PGDN        ,KC_TRNS        ,KC_INS         ,</v>
      </c>
    </row>
    <row r="110" spans="1:1" x14ac:dyDescent="0.25">
      <c r="A110" t="str">
        <f>'Layout 3'!P63</f>
        <v xml:space="preserve">        KC_LCTL        ,KC_LALT        ,KC_LGUI        ,KC_ALGR        ,KC_LSFT        ,                                </v>
      </c>
    </row>
    <row r="111" spans="1:1" x14ac:dyDescent="0.25">
      <c r="A111" t="str">
        <f>'Layout 3'!P64</f>
        <v xml:space="preserve">                                                                                        KC_FN3         ,KC_ESC         ,</v>
      </c>
    </row>
    <row r="112" spans="1:1" x14ac:dyDescent="0.25">
      <c r="A112" t="str">
        <f>'Layout 3'!P65</f>
        <v xml:space="preserve">                                                                                                        KC_TRNS        ,</v>
      </c>
    </row>
    <row r="113" spans="1:1" x14ac:dyDescent="0.25">
      <c r="A113" t="str">
        <f>'Layout 3'!P66</f>
        <v xml:space="preserve">                                                                        KC_WH_L        ,KC_FN1         ,KC_TRNS        ,</v>
      </c>
    </row>
    <row r="114" spans="1:1" x14ac:dyDescent="0.25">
      <c r="A114" t="str">
        <f>'Layout 3'!P67</f>
        <v>//Right hand</v>
      </c>
    </row>
    <row r="115" spans="1:1" x14ac:dyDescent="0.25">
      <c r="A115" t="str">
        <f>'Layout 3'!P68</f>
        <v xml:space="preserve">        KC_F7          ,KC_F8          ,KC_F9          ,KC_F10         ,KC_F11         ,KC_F12         ,KC_TRNS        ,</v>
      </c>
    </row>
    <row r="116" spans="1:1" x14ac:dyDescent="0.25">
      <c r="A116" t="str">
        <f>'Layout 3'!P69</f>
        <v xml:space="preserve">        KC_PGDN        ,KC_TRNS        ,KC_HOME        ,KC_UP          ,KC_END         ,KC_TRNS        ,KC_TRNS        ,</v>
      </c>
    </row>
    <row r="117" spans="1:1" x14ac:dyDescent="0.25">
      <c r="A117" t="str">
        <f>'Layout 3'!P70</f>
        <v xml:space="preserve">                        KC_TRNS        ,KC_LEFT        ,KC_DOWN        ,KC_RGHT        ,KC_TRNS        ,KC_TRNS        ,</v>
      </c>
    </row>
    <row r="118" spans="1:1" x14ac:dyDescent="0.25">
      <c r="A118" t="str">
        <f>'Layout 3'!P71</f>
        <v xml:space="preserve">        KC_PGUP        ,KC_TRNS        ,KC_PGUP        ,KC_TRNS        ,KC_PGDN        ,KC_TRNS        ,KC_TRNS        ,</v>
      </c>
    </row>
    <row r="119" spans="1:1" x14ac:dyDescent="0.25">
      <c r="A119" t="str">
        <f>'Layout 3'!P72</f>
        <v xml:space="preserve">                                        KC_TRNS        ,KC_ALGR        ,KC_RGUI        ,KC_LALT        ,KC_RCTL        ,</v>
      </c>
    </row>
    <row r="120" spans="1:1" x14ac:dyDescent="0.25">
      <c r="A120" t="str">
        <f>'Layout 3'!P73</f>
        <v xml:space="preserve">        KC_TRNS        ,KC_FN3         ,                                                                                </v>
      </c>
    </row>
    <row r="121" spans="1:1" x14ac:dyDescent="0.25">
      <c r="A121" t="str">
        <f>'Layout 3'!P74</f>
        <v xml:space="preserve">        KC_TRNS        ,                                                                                                </v>
      </c>
    </row>
    <row r="122" spans="1:1" x14ac:dyDescent="0.25">
      <c r="A122" t="str">
        <f>'Layout 3'!P75</f>
        <v xml:space="preserve">        KC_FN1         ,KC_RSFT        ,KC_WH_R                                                                        </v>
      </c>
    </row>
    <row r="123" spans="1:1" x14ac:dyDescent="0.25">
      <c r="A123" t="str">
        <f>'Layout 3'!P76</f>
        <v xml:space="preserve">    ),</v>
      </c>
    </row>
    <row r="124" spans="1:1" x14ac:dyDescent="0.25">
      <c r="A124" t="str">
        <f>'Layout 4'!P36</f>
        <v>/*Keymap 3: Multimedia -Mouse</v>
      </c>
    </row>
    <row r="125" spans="1:1" x14ac:dyDescent="0.25">
      <c r="A125" t="str">
        <f>'Layout 4'!P37</f>
        <v>*</v>
      </c>
    </row>
    <row r="126" spans="1:1" x14ac:dyDescent="0.25">
      <c r="A126" t="str">
        <f>'Layout 4'!P38</f>
        <v>* ,--------------------------------------------------.           ,--------------------------------------------------.</v>
      </c>
    </row>
    <row r="127" spans="1:1" x14ac:dyDescent="0.25">
      <c r="A127" t="str">
        <f>'Layout 4'!P39</f>
        <v>* |        |      |      |      |      |      |Titre |           |Titre |      |      |      |      |      |        |</v>
      </c>
    </row>
    <row r="128" spans="1:1" x14ac:dyDescent="0.25">
      <c r="A128" t="str">
        <f>'Layout 4'!P40</f>
        <v>* |--------+------+------+------+------+------+------|           |------+------+------+------+------+------+--------|</v>
      </c>
    </row>
    <row r="129" spans="1:1" x14ac:dyDescent="0.25">
      <c r="A129" t="str">
        <f>'Layout 4'!P41</f>
        <v>* |        |      |      | MsUp |      |Deroul|Volume|           | Stop |      |      |      |      |      |        |</v>
      </c>
    </row>
    <row r="130" spans="1:1" x14ac:dyDescent="0.25">
      <c r="A130" t="str">
        <f>'Layout 4'!P42</f>
        <v>* |--------+------+------+------+------+------|      |           |      |------+------+------+------+------+--------|</v>
      </c>
    </row>
    <row r="131" spans="1:1" x14ac:dyDescent="0.25">
      <c r="A131" t="str">
        <f>'Layout 4'!P43</f>
        <v>* | Souris |      |MsLeft|MsDown|MsRght|Deroul|------|           |------|      | Lclk | Rclk |      |      |        |</v>
      </c>
    </row>
    <row r="132" spans="1:1" x14ac:dyDescent="0.25">
      <c r="A132" t="str">
        <f>'Layout 4'!P44</f>
        <v>* |--------+------+------+------+------+------|      |           |      |------+------+------+------+------+--------|</v>
      </c>
    </row>
    <row r="133" spans="1:1" x14ac:dyDescent="0.25">
      <c r="A133" t="str">
        <f>'Layout 4'!P45</f>
        <v>* | Souris |      |Deroul|      |Deroul|      |Volume|           |Lect/P|      |      |      |      |      |        |</v>
      </c>
    </row>
    <row r="134" spans="1:1" x14ac:dyDescent="0.25">
      <c r="A134" t="str">
        <f>'Layout 4'!P46</f>
        <v>* `--------+------+------+------+------+-------------'           `-------------+------+------+------+------+--------'</v>
      </c>
    </row>
    <row r="135" spans="1:1" x14ac:dyDescent="0.25">
      <c r="A135" t="str">
        <f>'Layout 4'!P47</f>
        <v>*   |Souris| Alt  | GUIL |Alt Gr|ShiftG|                                       | Fn2  | Fin  | GUID | Alt  |CtrlD   |</v>
      </c>
    </row>
    <row r="136" spans="1:1" x14ac:dyDescent="0.25">
      <c r="A136" t="str">
        <f>'Layout 4'!P48</f>
        <v>*   `----------------------------------'                                       `----------------------------------'</v>
      </c>
    </row>
    <row r="137" spans="1:1" x14ac:dyDescent="0.25">
      <c r="A137" t="str">
        <f>'Layout 4'!P49</f>
        <v>*                                        ,-------------.       ,-------------.</v>
      </c>
    </row>
    <row r="138" spans="1:1" x14ac:dyDescent="0.25">
      <c r="A138" t="str">
        <f>'Layout 4'!P50</f>
        <v xml:space="preserve">*                                        |      |      |       |      |      |       </v>
      </c>
    </row>
    <row r="139" spans="1:1" x14ac:dyDescent="0.25">
      <c r="A139" t="str">
        <f>'Layout 4'!P51</f>
        <v>*                                 ,------|------|------|       |------+------+------.</v>
      </c>
    </row>
    <row r="140" spans="1:1" x14ac:dyDescent="0.25">
      <c r="A140" t="str">
        <f>'Layout 4'!P52</f>
        <v>*                                 |      |      |      |       |      |      |      |</v>
      </c>
    </row>
    <row r="141" spans="1:1" x14ac:dyDescent="0.25">
      <c r="A141" t="str">
        <f>'Layout 4'!P53</f>
        <v>*                                 |      |      |------|       |------|      |      |</v>
      </c>
    </row>
    <row r="142" spans="1:1" x14ac:dyDescent="0.25">
      <c r="A142" t="str">
        <f>'Layout 4'!P54</f>
        <v>*                                 | Mute | Mute | Fn2  |       | Fn1  | Mute | Mute |</v>
      </c>
    </row>
    <row r="143" spans="1:1" x14ac:dyDescent="0.25">
      <c r="A143" t="str">
        <f>'Layout 4'!P55</f>
        <v>*                                 `--------------------'       `--------------------'</v>
      </c>
    </row>
    <row r="144" spans="1:1" x14ac:dyDescent="0.25">
      <c r="A144" t="str">
        <f>'Layout 4'!P56</f>
        <v>*/</v>
      </c>
    </row>
    <row r="145" spans="1:1" x14ac:dyDescent="0.25">
      <c r="A145" t="str">
        <f>'Layout 4'!P57</f>
        <v>[MDIA] = LAYOUT_ergodox(</v>
      </c>
    </row>
    <row r="146" spans="1:1" x14ac:dyDescent="0.25">
      <c r="A146" t="str">
        <f>'Layout 4'!P58</f>
        <v>//Left hand</v>
      </c>
    </row>
    <row r="147" spans="1:1" x14ac:dyDescent="0.25">
      <c r="A147" t="str">
        <f>'Layout 4'!P59</f>
        <v xml:space="preserve">        KC_TRNS        ,KC_TRNS        ,KC_TRNS        ,KC_TRNS        ,KC_TRNS        ,KC_TRNS        ,KC_MPRV        ,</v>
      </c>
    </row>
    <row r="148" spans="1:1" x14ac:dyDescent="0.25">
      <c r="A148" t="str">
        <f>'Layout 4'!P60</f>
        <v xml:space="preserve">        KC_TRNS        ,KC_TRNS        ,KC_TRNS        ,KC_MS_U        ,KC_TRNS        ,KC_WH_U        ,KC_VOLU        ,</v>
      </c>
    </row>
    <row r="149" spans="1:1" x14ac:dyDescent="0.25">
      <c r="A149" t="str">
        <f>'Layout 4'!P61</f>
        <v xml:space="preserve">        KC_ACL2        ,KC_TRNS        ,KC_MS_L        ,KC_MS_D        ,KC_MS_R        ,KC_WH_D        ,                </v>
      </c>
    </row>
    <row r="150" spans="1:1" x14ac:dyDescent="0.25">
      <c r="A150" t="str">
        <f>'Layout 4'!P62</f>
        <v xml:space="preserve">        KC_ACL1        ,KC_TRNS        ,KC_WH_L        ,KC_TRNS        ,KC_WH_R        ,KC_TRNS        ,KC_VOLD        ,</v>
      </c>
    </row>
    <row r="151" spans="1:1" x14ac:dyDescent="0.25">
      <c r="A151" t="str">
        <f>'Layout 4'!P63</f>
        <v xml:space="preserve">        KC_ACL0        ,KC_LALT        ,KC_LGUI        ,KC_ALGR        ,KC_LSFT        ,                                </v>
      </c>
    </row>
    <row r="152" spans="1:1" x14ac:dyDescent="0.25">
      <c r="A152" t="str">
        <f>'Layout 4'!P64</f>
        <v xml:space="preserve">                                                                                        KC_TRNS        ,KC_TRNS        ,</v>
      </c>
    </row>
    <row r="153" spans="1:1" x14ac:dyDescent="0.25">
      <c r="A153" t="str">
        <f>'Layout 4'!P65</f>
        <v xml:space="preserve">                                                                                                        KC_TRNS        ,</v>
      </c>
    </row>
    <row r="154" spans="1:1" x14ac:dyDescent="0.25">
      <c r="A154" t="str">
        <f>'Layout 4'!P66</f>
        <v xml:space="preserve">                                                                        KC_MUTE        ,KC_MUTE        ,KC_FN2         ,</v>
      </c>
    </row>
    <row r="155" spans="1:1" x14ac:dyDescent="0.25">
      <c r="A155" t="str">
        <f>'Layout 4'!P67</f>
        <v>//Right hand</v>
      </c>
    </row>
    <row r="156" spans="1:1" x14ac:dyDescent="0.25">
      <c r="A156" t="str">
        <f>'Layout 4'!P68</f>
        <v xml:space="preserve">        KC_MNXT        ,KC_TRNS        ,KC_TRNS        ,KC_TRNS        ,KC_TRNS        ,KC_TRNS        ,KC_TRNS        ,</v>
      </c>
    </row>
    <row r="157" spans="1:1" x14ac:dyDescent="0.25">
      <c r="A157" t="str">
        <f>'Layout 4'!P69</f>
        <v xml:space="preserve">        KC_MSTP        ,KC_TRNS        ,KC_TRNS        ,KC_TRNS        ,KC_TRNS        ,KC_TRNS        ,KC_TRNS        ,</v>
      </c>
    </row>
    <row r="158" spans="1:1" x14ac:dyDescent="0.25">
      <c r="A158" t="str">
        <f>'Layout 4'!P70</f>
        <v xml:space="preserve">                        KC_TRNS        ,KC_BTN1        ,KC_BTN2        ,KC_TRNS        ,KC_TRNS        ,KC_TRNS        ,</v>
      </c>
    </row>
    <row r="159" spans="1:1" x14ac:dyDescent="0.25">
      <c r="A159" t="str">
        <f>'Layout 4'!P71</f>
        <v xml:space="preserve">        KC_MPLY        ,KC_TRNS        ,KC_TRNS        ,KC_TRNS        ,KC_TRNS        ,KC_TRNS        ,KC_TRNS        ,</v>
      </c>
    </row>
    <row r="160" spans="1:1" x14ac:dyDescent="0.25">
      <c r="A160" t="str">
        <f>'Layout 4'!P72</f>
        <v xml:space="preserve">                                        KC_FN2         ,KC_END         ,KC_RGUI        ,KC_LALT        ,KC_RCTL        ,</v>
      </c>
    </row>
    <row r="161" spans="1:1" x14ac:dyDescent="0.25">
      <c r="A161" t="str">
        <f>'Layout 4'!P73</f>
        <v xml:space="preserve">        KC_TRNS        ,KC_TRNS        ,                                                                                </v>
      </c>
    </row>
    <row r="162" spans="1:1" x14ac:dyDescent="0.25">
      <c r="A162" t="str">
        <f>'Layout 4'!P74</f>
        <v xml:space="preserve">        KC_TRNS        ,                                                                                                </v>
      </c>
    </row>
    <row r="163" spans="1:1" x14ac:dyDescent="0.25">
      <c r="A163" t="str">
        <f>'Layout 4'!P75</f>
        <v xml:space="preserve">        KC_FN1         ,KC_MUTE        ,KC_MUTE                                                                        </v>
      </c>
    </row>
    <row r="164" spans="1:1" x14ac:dyDescent="0.25">
      <c r="A164" t="str">
        <f>'Layout 4'!P76</f>
        <v xml:space="preserve">    ),</v>
      </c>
    </row>
    <row r="165" spans="1:1" x14ac:dyDescent="0.25">
      <c r="A165" t="str">
        <f>'Layout 5'!P36</f>
        <v>/*Keymap 4: Funtion keys layer</v>
      </c>
    </row>
    <row r="166" spans="1:1" x14ac:dyDescent="0.25">
      <c r="A166" t="str">
        <f>'Layout 5'!P37</f>
        <v>*</v>
      </c>
    </row>
    <row r="167" spans="1:1" x14ac:dyDescent="0.25">
      <c r="A167" t="str">
        <f>'Layout 5'!P38</f>
        <v>* ,--------------------------------------------------.           ,--------------------------------------------------.</v>
      </c>
    </row>
    <row r="168" spans="1:1" x14ac:dyDescent="0.25">
      <c r="A168" t="str">
        <f>'Layout 5'!P39</f>
        <v>* |        |      | F12  | F11  | F10  |      |      |           | Del  |      | F10  | F11  | F12  |      |        |</v>
      </c>
    </row>
    <row r="169" spans="1:1" x14ac:dyDescent="0.25">
      <c r="A169" t="str">
        <f>'Layout 5'!P40</f>
        <v>* |--------+------+------+------+------+------+------|           |------+------+------+------+------+------+--------|</v>
      </c>
    </row>
    <row r="170" spans="1:1" x14ac:dyDescent="0.25">
      <c r="A170" t="str">
        <f>'Layout 5'!P41</f>
        <v>* |        |      |  F9  |  F8  |  F7  |      |SH(F2)|           |SH(F3)|      |  F7  |  F8  |  F9  |      |        |</v>
      </c>
    </row>
    <row r="171" spans="1:1" x14ac:dyDescent="0.25">
      <c r="A171" t="str">
        <f>'Layout 5'!P42</f>
        <v>* |--------+------+------+------+------+------|      |           |      |------+------+------+------+------+--------|</v>
      </c>
    </row>
    <row r="172" spans="1:1" x14ac:dyDescent="0.25">
      <c r="A172" t="str">
        <f>'Layout 5'!P43</f>
        <v>* |        |      |  F6  |  F5  |  F4  |SH(F8)|------|           |------|SH(F9)|  F4  |  F5  |  F6  |      |        |</v>
      </c>
    </row>
    <row r="173" spans="1:1" x14ac:dyDescent="0.25">
      <c r="A173" t="str">
        <f>'Layout 5'!P44</f>
        <v>* |--------+------+------+------+------+------|      |           |      |------+------+------+------+------+--------|</v>
      </c>
    </row>
    <row r="174" spans="1:1" x14ac:dyDescent="0.25">
      <c r="A174" t="str">
        <f>'Layout 5'!P45</f>
        <v>* |        |      |  F3  |  F2  |  F1  |      |SH(F5)|           |SH(F7)|      |  F1  |  F2  |  F3  |      |        |</v>
      </c>
    </row>
    <row r="175" spans="1:1" x14ac:dyDescent="0.25">
      <c r="A175" t="str">
        <f>'Layout 5'!P46</f>
        <v>* `--------+------+------+------+------+-------------'           `-------------+------+------+------+------+--------'</v>
      </c>
    </row>
    <row r="176" spans="1:1" x14ac:dyDescent="0.25">
      <c r="A176" t="str">
        <f>'Layout 5'!P47</f>
        <v>*   |CtrlG | Alt  | GUIL |Alt Gr|ShiftG|                                       |      |Alt Gr| GUID | Alt  |CtrlD   |</v>
      </c>
    </row>
    <row r="177" spans="1:1" x14ac:dyDescent="0.25">
      <c r="A177" t="str">
        <f>'Layout 5'!P48</f>
        <v>*   `----------------------------------'                                       `----------------------------------'</v>
      </c>
    </row>
    <row r="178" spans="1:1" x14ac:dyDescent="0.25">
      <c r="A178" t="str">
        <f>'Layout 5'!P49</f>
        <v>*                                        ,-------------.       ,-------------.</v>
      </c>
    </row>
    <row r="179" spans="1:1" x14ac:dyDescent="0.25">
      <c r="A179" t="str">
        <f>'Layout 5'!P50</f>
        <v xml:space="preserve">*                                        | Fn3  | Esc  |       |Caps L| Fn3  |       </v>
      </c>
    </row>
    <row r="180" spans="1:1" x14ac:dyDescent="0.25">
      <c r="A180" t="str">
        <f>'Layout 5'!P51</f>
        <v>*                                 ,------|------|------|       |------+------+------.</v>
      </c>
    </row>
    <row r="181" spans="1:1" x14ac:dyDescent="0.25">
      <c r="A181" t="str">
        <f>'Layout 5'!P52</f>
        <v>*                                 |      |      |      |       |      |      |      |</v>
      </c>
    </row>
    <row r="182" spans="1:1" x14ac:dyDescent="0.25">
      <c r="A182" t="str">
        <f>'Layout 5'!P53</f>
        <v>*                                 |      |      |------|       |------|      |      |</v>
      </c>
    </row>
    <row r="183" spans="1:1" x14ac:dyDescent="0.25">
      <c r="A183" t="str">
        <f>'Layout 5'!P54</f>
        <v>*                                 |  F5  |ShiftG|  F8  |       |      |Paste |  F8  |</v>
      </c>
    </row>
    <row r="184" spans="1:1" x14ac:dyDescent="0.25">
      <c r="A184" t="str">
        <f>'Layout 5'!P55</f>
        <v>*                                 `--------------------'       `--------------------'</v>
      </c>
    </row>
    <row r="185" spans="1:1" x14ac:dyDescent="0.25">
      <c r="A185" t="str">
        <f>'Layout 5'!P56</f>
        <v>*/</v>
      </c>
    </row>
    <row r="186" spans="1:1" x14ac:dyDescent="0.25">
      <c r="A186" t="str">
        <f>'Layout 5'!P57</f>
        <v>[FONC] = LAYOUT_ergodox(</v>
      </c>
    </row>
    <row r="187" spans="1:1" x14ac:dyDescent="0.25">
      <c r="A187" t="str">
        <f>'Layout 5'!P58</f>
        <v>//Left hand</v>
      </c>
    </row>
    <row r="188" spans="1:1" x14ac:dyDescent="0.25">
      <c r="A188" t="str">
        <f>'Layout 5'!P59</f>
        <v xml:space="preserve">        KC_TRNS        ,KC_TRNS        ,KC_F12         ,KC_F11         ,KC_F10         ,KC_TRNS        ,KC_TRNS        ,</v>
      </c>
    </row>
    <row r="189" spans="1:1" x14ac:dyDescent="0.25">
      <c r="A189" t="str">
        <f>'Layout 5'!P60</f>
        <v xml:space="preserve">        KC_TRNS        ,KC_TRNS        ,KC_F9          ,KC_F8          ,KC_F7          ,KC_TRNS        ,LSFT(KC_F2)    ,</v>
      </c>
    </row>
    <row r="190" spans="1:1" x14ac:dyDescent="0.25">
      <c r="A190" t="str">
        <f>'Layout 5'!P61</f>
        <v xml:space="preserve">        KC_TRNS        ,KC_TRNS        ,KC_F6          ,KC_F5          ,KC_F4          ,LSFT(KC_F8)    ,                </v>
      </c>
    </row>
    <row r="191" spans="1:1" x14ac:dyDescent="0.25">
      <c r="A191" t="str">
        <f>'Layout 5'!P62</f>
        <v xml:space="preserve">        KC_TRNS        ,KC_TRNS        ,KC_F3          ,KC_F2          ,KC_F1          ,KC_TRNS        ,LSFT(KC_F5)    ,</v>
      </c>
    </row>
    <row r="192" spans="1:1" x14ac:dyDescent="0.25">
      <c r="A192" t="str">
        <f>'Layout 5'!P63</f>
        <v xml:space="preserve">        KC_LCTL        ,KC_LALT        ,KC_LGUI        ,BP_ALGR        ,KC_LSFT        ,                                </v>
      </c>
    </row>
    <row r="193" spans="1:1" x14ac:dyDescent="0.25">
      <c r="A193" t="str">
        <f>'Layout 5'!P64</f>
        <v xml:space="preserve">                                                                                        KC_FN3         ,KC_ESC         ,</v>
      </c>
    </row>
    <row r="194" spans="1:1" x14ac:dyDescent="0.25">
      <c r="A194" t="str">
        <f>'Layout 5'!P65</f>
        <v xml:space="preserve">                                                                                                        KC_TRNS        ,</v>
      </c>
    </row>
    <row r="195" spans="1:1" x14ac:dyDescent="0.25">
      <c r="A195" t="str">
        <f>'Layout 5'!P66</f>
        <v xml:space="preserve">                                                                        KC_F5          ,KC_LSFT        ,KC_F8          ,</v>
      </c>
    </row>
    <row r="196" spans="1:1" x14ac:dyDescent="0.25">
      <c r="A196" t="str">
        <f>'Layout 5'!P67</f>
        <v>//Right hand</v>
      </c>
    </row>
    <row r="197" spans="1:1" x14ac:dyDescent="0.25">
      <c r="A197" t="str">
        <f>'Layout 5'!P68</f>
        <v xml:space="preserve">        KC_DELT        ,KC_TRNS        ,KC_F10         ,KC_F11         ,KC_F12         ,KC_TRNS        ,KC_TRNS        ,</v>
      </c>
    </row>
    <row r="198" spans="1:1" x14ac:dyDescent="0.25">
      <c r="A198" t="str">
        <f>'Layout 5'!P69</f>
        <v xml:space="preserve">        LSFT(KC_F3)    ,KC_TRNS        ,KC_F7          ,KC_F8          ,KC_F9          ,KC_TRNS        ,KC_TRNS        ,</v>
      </c>
    </row>
    <row r="199" spans="1:1" x14ac:dyDescent="0.25">
      <c r="A199" t="str">
        <f>'Layout 5'!P70</f>
        <v xml:space="preserve">                        LSFT(KC_F9)    ,KC_F4          ,KC_F5          ,KC_F6          ,KC_TRNS        ,KC_TRNS        ,</v>
      </c>
    </row>
    <row r="200" spans="1:1" x14ac:dyDescent="0.25">
      <c r="A200" t="str">
        <f>'Layout 5'!P71</f>
        <v xml:space="preserve">        LSFT(KC_F7)    ,KC_TRNS        ,KC_F1          ,KC_F2          ,KC_F3          ,KC_TRNS        ,KC_TRNS        ,</v>
      </c>
    </row>
    <row r="201" spans="1:1" x14ac:dyDescent="0.25">
      <c r="A201" t="str">
        <f>'Layout 5'!P72</f>
        <v xml:space="preserve">                                        KC_TRNS        ,BP_ALGR        ,KC_RGUI        ,KC_LALT        ,KC_RCTL        ,</v>
      </c>
    </row>
    <row r="202" spans="1:1" x14ac:dyDescent="0.25">
      <c r="A202" t="str">
        <f>'Layout 5'!P73</f>
        <v xml:space="preserve">        KC_CAPS        ,KC_FN3         ,                                                                                </v>
      </c>
    </row>
    <row r="203" spans="1:1" x14ac:dyDescent="0.25">
      <c r="A203" t="str">
        <f>'Layout 5'!P74</f>
        <v xml:space="preserve">        KC_TRNS        ,                                                                                                </v>
      </c>
    </row>
    <row r="204" spans="1:1" x14ac:dyDescent="0.25">
      <c r="A204" t="str">
        <f>'Layout 5'!P75</f>
        <v xml:space="preserve">        KC_TRNS        ,KC_PASTE       ,KC_F8                                                                          </v>
      </c>
    </row>
    <row r="205" spans="1:1" x14ac:dyDescent="0.25">
      <c r="A205" t="str">
        <f>'Layout 5'!P76</f>
        <v xml:space="preserve">    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Layout 1</vt:lpstr>
      <vt:lpstr>Layout 2</vt:lpstr>
      <vt:lpstr>Layout 3</vt:lpstr>
      <vt:lpstr>Layout 4</vt:lpstr>
      <vt:lpstr>Version</vt:lpstr>
      <vt:lpstr>Layout 5</vt:lpstr>
      <vt:lpstr>BDD</vt:lpstr>
      <vt:lpstr>allcode</vt:lpstr>
    </vt:vector>
  </TitlesOfParts>
  <Company>SPIE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SAMSON Manuel</dc:creator>
  <cp:lastModifiedBy>charles</cp:lastModifiedBy>
  <cp:lastPrinted>2018-02-18T11:43:17Z</cp:lastPrinted>
  <dcterms:created xsi:type="dcterms:W3CDTF">2018-02-09T12:28:19Z</dcterms:created>
  <dcterms:modified xsi:type="dcterms:W3CDTF">2021-04-05T09:50:31Z</dcterms:modified>
</cp:coreProperties>
</file>